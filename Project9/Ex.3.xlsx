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na\Desktop\ШК21\"/>
    </mc:Choice>
  </mc:AlternateContent>
  <xr:revisionPtr revIDLastSave="0" documentId="8_{1B8A0239-2F61-490F-8CED-02A8A572D399}" xr6:coauthVersionLast="47" xr6:coauthVersionMax="47" xr10:uidLastSave="{00000000-0000-0000-0000-000000000000}"/>
  <bookViews>
    <workbookView xWindow="-108" yWindow="-108" windowWidth="23256" windowHeight="13896" activeTab="2" xr2:uid="{B9948E4E-3386-4B45-A5A9-6D47E4BF4D88}"/>
  </bookViews>
  <sheets>
    <sheet name="Воронка и расчеты" sheetId="1" r:id="rId1"/>
    <sheet name="Выводы" sheetId="2" r:id="rId2"/>
    <sheet name="Подготовка канал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6" i="1" l="1"/>
  <c r="L6" i="1"/>
  <c r="K6" i="1"/>
  <c r="M5" i="1"/>
  <c r="L5" i="1"/>
  <c r="K5" i="1"/>
  <c r="M4" i="1"/>
  <c r="L4" i="1"/>
  <c r="K4" i="1"/>
  <c r="M3" i="1"/>
  <c r="L3" i="1"/>
  <c r="K3" i="1"/>
  <c r="J3" i="1"/>
  <c r="I3" i="1"/>
  <c r="M2" i="1"/>
  <c r="L2" i="1"/>
  <c r="K2" i="1"/>
  <c r="J2" i="1"/>
  <c r="H2" i="1"/>
</calcChain>
</file>

<file path=xl/sharedStrings.xml><?xml version="1.0" encoding="utf-8"?>
<sst xmlns="http://schemas.openxmlformats.org/spreadsheetml/2006/main" count="124" uniqueCount="112">
  <si>
    <t>Канал</t>
  </si>
  <si>
    <t>Охват</t>
  </si>
  <si>
    <t>Просмотры</t>
  </si>
  <si>
    <t>Ответы</t>
  </si>
  <si>
    <t>Переходы</t>
  </si>
  <si>
    <t>Регистрации</t>
  </si>
  <si>
    <t>Покупки</t>
  </si>
  <si>
    <t>К1</t>
  </si>
  <si>
    <t>К2</t>
  </si>
  <si>
    <t>К3</t>
  </si>
  <si>
    <t>К4</t>
  </si>
  <si>
    <t>К5</t>
  </si>
  <si>
    <t>К6</t>
  </si>
  <si>
    <t>Комм</t>
  </si>
  <si>
    <t>ТГ</t>
  </si>
  <si>
    <t>ВК</t>
  </si>
  <si>
    <t>Рефералка</t>
  </si>
  <si>
    <t>Блогеры</t>
  </si>
  <si>
    <t>Соцсети</t>
  </si>
  <si>
    <t>-</t>
  </si>
  <si>
    <t>Самый большой отток - из просмотра в переходы. Слабая сторона: Ограничен текущей базой подписчиков (300).</t>
  </si>
  <si>
    <t>Самый большой отток - из охвата в ответы. Слабая сторона: Высокие затраты времени солопренера, риск банов за спам.</t>
  </si>
  <si>
    <t>Самый большой отток - из регистрации в покупку. Слабая сторона: Маленький масштаб (всего 18 переходов).</t>
  </si>
  <si>
    <t>Самый большой отток - из переходов в регистрацию. Слабая сторона: Низкая конверсия лендинга (30%), не подходит под условие нулевого бюджета.</t>
  </si>
  <si>
    <t>Оттоки приблизительно равны. Слабая сторона: Самое «холодное» и нецелевое качество трафика (сквозная конверсия всего 6.7%).</t>
  </si>
  <si>
    <t>Telegram-канал</t>
  </si>
  <si>
    <t>Средний (36 переходов, 24 регистрации)</t>
  </si>
  <si>
    <t>Максимум готовых регистраций и покупок с одного поста</t>
  </si>
  <si>
    <t>Емкость ограничена 300 текущими подписчиками</t>
  </si>
  <si>
    <t>Быстрое выгорание аудитории при повторных офферах</t>
  </si>
  <si>
    <t>Идеален для мгновенной валидации, но требует притока новых людей.</t>
  </si>
  <si>
    <t>Холодные сообщения TG/VK</t>
  </si>
  <si>
    <t>Низкий (10 регистраций, 4 покупки)</t>
  </si>
  <si>
    <t>Глубокий персональный контакт и точечное попадание в боль</t>
  </si>
  <si>
    <t>78% игнорируют первое сообщение; много ручного труда</t>
  </si>
  <si>
    <t>Блокировки аккаунтов, быстрый лимит времени солопренера</t>
  </si>
  <si>
    <t>Лучший инструмент для CustDev и первых закрытий, но тяжело масштабировать.</t>
  </si>
  <si>
    <t>Минимальный (9 регистраций, 3 покупки)</t>
  </si>
  <si>
    <t>Хорошее (CR в рег. 50%, в покупку 33.3%)</t>
  </si>
  <si>
    <t>Доверие к продукту без затрат на рекламу</t>
  </si>
  <si>
    <t>Нет встроенного вирального механизма для новичков</t>
  </si>
  <si>
    <t>Медленный цикл запуска (пользователь рекомендует не сразу)</t>
  </si>
  <si>
    <t>Дополнительный фоновый канал, пока не способен дать 50 пользователей.</t>
  </si>
  <si>
    <t>Выше среднего (12 регистраций, 5 покупок)</t>
  </si>
  <si>
    <t>Среднее (CR в рег. 30%, но CR в покупку 41.7%)</t>
  </si>
  <si>
    <t>Доступ к новой внешней платежеспособной аудитории</t>
  </si>
  <si>
    <t>Требует рекламного бюджета / договоренностей</t>
  </si>
  <si>
    <t>Слив денег на нецелевых инфлюенсеров</t>
  </si>
  <si>
    <t>Противоречит ограничению солопренера «нулевой бюджет».</t>
  </si>
  <si>
    <t>Соцсети (фотосервис)</t>
  </si>
  <si>
    <t>Дешевый/бесплатный органический охват на старте</t>
  </si>
  <si>
    <t>Высокая поверхностность аудитории, слабая мотивация</t>
  </si>
  <si>
    <t>Технические ограничения платформы, низкий LTV</t>
  </si>
  <si>
    <t>Размывает фокус; не дает достаточного числа регистраций.</t>
  </si>
  <si>
    <t xml:space="preserve">Канал </t>
  </si>
  <si>
    <t xml:space="preserve">Объём </t>
  </si>
  <si>
    <t xml:space="preserve">Качество </t>
  </si>
  <si>
    <t xml:space="preserve">Что дает лучше всего </t>
  </si>
  <si>
    <t xml:space="preserve">Основной барьер </t>
  </si>
  <si>
    <t xml:space="preserve">Риск канала </t>
  </si>
  <si>
    <t xml:space="preserve">Итоговый вывод </t>
  </si>
  <si>
    <t>Очень высокое (CR в рег. 66.7%, в покупку 33.3%)</t>
  </si>
  <si>
    <t>Максимальное (CR в рег. 71.4%, в покупку 40.0%)</t>
  </si>
  <si>
    <t>Максимальный охват кликов (60 переходов)</t>
  </si>
  <si>
    <t>Низкое (CR в рег. 25%, в покупку 26.7%)</t>
  </si>
  <si>
    <t>Лучший объем: Соцсеть-фотосервис по кликам (60), но Telegram-канал по фактическим регистрациям (24).   Лучшие конверсии: Холодные сообщения (71.4% в регистрацию) и Telegram-канал (66.7%).   Лучший баланс: Собственный Telegram-канал.   Выбор наиболее перспективного канала для достижения цели (50 пользователей за 2 недели без бюджета):Выбранный канал: Связка «Партизанский аутрич / комментинг в профильных чатах -Telegram-канал / Telegram-бот квиза».   Обоснование:Текущий канал показал отличную конверсию в регистрацию (66.7%) и покупку (33.3%), но на 300 подписчиках ресурс почти исчерпан (осталось всего 24 регистрации до цели).   Платные блогеры запрещены условием «нулевой бюджет», а спам в личку упирается в лимиты платформ.   Единственный бесплатный и масштабируемый путь солопренера — привлекать целевых специалистов из тематических Telegram-чатов (Junior/Middle спецы, ищущие прокачку навыков) через пользу и лид-магнит («пройди тест за 2 минуты и узнай, какой курс не сольет твой бюджет»). Это позволит добрать недостающие 26 регистраций за 14 дней без риска бана и без затрат.</t>
  </si>
  <si>
    <t>1. Выбранный канал и стратегическое обоснование</t>
  </si>
  <si>
    <t>Какую проблему снимает: Устраняет информационный шум и паралич выбора курса среди сотен однотипных программ на рынке.</t>
  </si>
  <si>
    <t>Какой барьер пользователя уменьшает: Снижает страх слить деньги и время на нерелевантный или устаревший курс.</t>
  </si>
  <si>
    <t>Ключевые риски: Удаление сообщений модераторами чатов при излишней рекламности; неверно подобранные чаты с неактивной аудиторией.</t>
  </si>
  <si>
    <t>Выбранный канал: Тематические профессиональные Telegram-чаты и сообщества (партизанский посев пользы / экспертный аутрич) -&gt; вход в Telegram-канал и квиз-механику.</t>
  </si>
  <si>
    <t>Почему именно этот канал: По итогам первого задания собственный Telegram-канал показал высокую конверсию в регистрацию 66,7% и покупку (33,3%), однако текущая база исчерпана (300 подписчиков). Тематические Telegram-чаты позволяют бесплатно привлечь концентрированную целевую аудиторию без рекламного бюджета и без рисков массового спам-бана личного аккаунта.</t>
  </si>
  <si>
    <t>Критерий успеха теста: Привлечение 30 новых регистраций за первую неделю тестирования с конверсией из прохождения квиза в регистрацию не ниже 50%.</t>
  </si>
  <si>
    <t>2. Гипотеза запуска</t>
  </si>
  <si>
    <t>Формулировка гипотезы:</t>
  </si>
  <si>
    <t>«Если предложить участникам профильных Telegram-чатов для начинающих специалистов бесплатный 2-минутный интерактивный квиз с персональным роадмапом и объективным сравнением курсов под их задачу, то мы получим не менее 60 переходов и не менее 30 регистраций за первую неделю, потому что инструмент напрямую решает боль сомнения и экономит 10+ часов ручного поиска без навязывания конкретной школы».</t>
  </si>
  <si>
    <t>3. Целевой сегмент</t>
  </si>
  <si>
    <t>Сегмент: Начинающие специалисты и свитчеры (Junior-специалисты, стажеры, маркетологи, аналитики, продакты, разработчики), которые прямо сейчас ищут обучение для перехода в новую профессию или закрытия пробелов в навыках для текущей работы.</t>
  </si>
  <si>
    <t>Где они находятся: Профильные чаты вакансий и стажировок, чаты взаимопомощи по IT-профессиям («Войти в IT», карьерные чаты онлайн-университетов, каналы с разборами резюме).</t>
  </si>
  <si>
    <t>5. Описание оффера</t>
  </si>
  <si>
    <t>Ключевые триггеры ценности:</t>
  </si>
  <si>
    <t>1. Экономия времени: не нужно читать сотни отзывов и лендингов онлайн-школ.</t>
  </si>
  <si>
    <t>2. Объективность: независимый подбор под задачи пользователя, а не продажа одного курса.</t>
  </si>
  <si>
    <t>3. Понятный результат: четкий расчет, сколько часов в неделю потребуется и какой навык будет освоен.</t>
  </si>
  <si>
    <t>Суть предложения: «Найди свой идеальный курс за 2 минуты: ответь на 4 вопроса и получи персонализированную подборку с разбором подводных камней и промокодом на первый модуль».</t>
  </si>
  <si>
    <t xml:space="preserve">[1. Касание в TG-чате] </t>
  </si>
  <si>
    <t>[2. Стартовый экран квиза] — «Подбери курс за 2 минуты под свою цель»</t>
  </si>
  <si>
    <t>[3. Экран выдачи результата] — Краткое превью 3 подходящих вариантов с плашкой «Совпадение 94%»</t>
  </si>
  <si>
    <t>[4. Регистрация в 1 клик] — Ввод Email или авторизация через Telegram в один клик</t>
  </si>
  <si>
    <t>[5. Личный кабинет / Telegram-бот] — Доступ к полному отчету и ссылкам на курсы</t>
  </si>
  <si>
    <t>↓ (Клик по ссылке)</t>
  </si>
  <si>
    <t>↓ (Прохождение 4 простых вопросов: текущая роль, цель, бюджет, часы в неделю)</t>
  </si>
  <si>
    <t>↓ (CTA: «Получить полный разбор программ и скидку на обучение»)</t>
  </si>
  <si>
    <t>↓</t>
  </si>
  <si>
    <t>7. Реферальная механика без бюджета</t>
  </si>
  <si>
    <t>Механика «Поделись с другом за разбор»:</t>
  </si>
  <si>
    <t>Сразу после регистрации на финальном экране квиза пользователю показывается блок:</t>
  </si>
  <si>
    <t>«Хочешь получить закрытую сравнительную таблицу зарплат и скидок до 25% на выбранные курсы? Поделись персональной ссылкой с другом, который тоже думает о смене профессии. Как только он пройдет квиз — таблица откроется автоматически».</t>
  </si>
  <si>
    <t>Нулевая себестоимость: В качестве награды выступает цифровой артефакт (таблица-сравнение, гайд по подготовке к собеседованию или промокоды от партнерских школ), не требующий финансовых затрат.</t>
  </si>
  <si>
    <t>8. Список метрик для анализа запуска</t>
  </si>
  <si>
    <t>1. Метрики трафика (Acquisition):</t>
  </si>
  <si>
    <t>Количество размещенных постов / охват сообщений в чатах.</t>
  </si>
  <si>
    <t>Количество кликов по ссылке (Переходы).</t>
  </si>
  <si>
    <t>2. Метрики воронки и конверсии (Activation):</t>
  </si>
  <si>
    <t>3. Метрики ценности и виральности (Referral / Revenue):</t>
  </si>
  <si>
    <t>Количество шеров реферальной ссылки (K-фактор).</t>
  </si>
  <si>
    <t>Количество кликов по партнерским ссылкам на подобранные курсы (первичный интерес к покупке).</t>
  </si>
  <si>
    <t>CTR первого сообщения (Клики/Охват * 100%).</t>
  </si>
  <si>
    <t>Доля начавших проходить квиз (Старты/Переходы).</t>
  </si>
  <si>
    <t>Completion Rate квиза (Завершившие опрос/Начавшие).</t>
  </si>
  <si>
    <t>Конверсия в регистрацию (Регистрации/Переходы) — целевой ориентир 50%.</t>
  </si>
  <si>
    <t>Стоимость привлечения регистрации (CAC / CPA) = 0 ₽ (строгое условие работы солопренера).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</si>
</sst>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  <font>
      <b/>
      <sz val="11"/>
      <color theme="1"/>
      <name val="Calibri Light"/>
      <family val="2"/>
      <charset val="204"/>
      <scheme val="major"/>
    </font>
    <font>
      <b/>
      <i/>
      <sz val="11"/>
      <color theme="1"/>
      <name val="Calibri Light"/>
      <family val="2"/>
      <charset val="204"/>
      <scheme val="major"/>
    </font>
    <font>
      <i/>
      <sz val="11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b/>
      <sz val="13.5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9" fontId="0" fillId="0" borderId="1" xfId="1" applyFont="1" applyBorder="1"/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Border="1"/>
    <xf numFmtId="0" fontId="3" fillId="0" borderId="1" xfId="0" applyFont="1" applyBorder="1" applyAlignment="1">
      <alignment horizontal="left" vertical="center" wrapText="1" indent="1"/>
    </xf>
    <xf numFmtId="0" fontId="3" fillId="0" borderId="0" xfId="0" applyFont="1" applyBorder="1"/>
    <xf numFmtId="0" fontId="4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5" fillId="0" borderId="0" xfId="0" applyFont="1" applyBorder="1"/>
    <xf numFmtId="0" fontId="2" fillId="0" borderId="0" xfId="0" applyFont="1" applyBorder="1" applyAlignment="1">
      <alignment horizontal="left" vertical="top" wrapText="1"/>
    </xf>
    <xf numFmtId="0" fontId="0" fillId="0" borderId="0" xfId="0" applyAlignment="1"/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6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</xdr:rowOff>
    </xdr:from>
    <xdr:to>
      <xdr:col>7</xdr:col>
      <xdr:colOff>7171</xdr:colOff>
      <xdr:row>40</xdr:row>
      <xdr:rowOff>152401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156C00C-4310-42E3-A38E-9B75A4BA3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02281"/>
          <a:ext cx="4274371" cy="4541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982A-EABF-41D1-97C4-C2C906A6BB30}">
  <dimension ref="A1:N6"/>
  <sheetViews>
    <sheetView zoomScale="70" workbookViewId="0">
      <selection activeCell="N7" sqref="N7"/>
    </sheetView>
  </sheetViews>
  <sheetFormatPr defaultRowHeight="14.4" x14ac:dyDescent="0.3"/>
  <cols>
    <col min="1" max="1" width="11.109375" customWidth="1"/>
    <col min="14" max="14" width="23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>
        <v>300</v>
      </c>
      <c r="C2" s="1">
        <v>120</v>
      </c>
      <c r="D2" s="1"/>
      <c r="E2" s="1">
        <v>36</v>
      </c>
      <c r="F2" s="1">
        <v>24</v>
      </c>
      <c r="G2" s="1">
        <v>8</v>
      </c>
      <c r="H2" s="2">
        <f>C2/B2</f>
        <v>0.4</v>
      </c>
      <c r="I2" s="2" t="s">
        <v>19</v>
      </c>
      <c r="J2" s="2">
        <f>E2/C2</f>
        <v>0.3</v>
      </c>
      <c r="K2" s="2">
        <f t="shared" ref="K2:L6" si="0">F2/E2</f>
        <v>0.66666666666666663</v>
      </c>
      <c r="L2" s="2">
        <f t="shared" si="0"/>
        <v>0.33333333333333331</v>
      </c>
      <c r="M2" s="2">
        <f>G2/B2</f>
        <v>2.6666666666666668E-2</v>
      </c>
      <c r="N2" s="1" t="s">
        <v>20</v>
      </c>
    </row>
    <row r="3" spans="1:14" x14ac:dyDescent="0.3">
      <c r="A3" s="1" t="s">
        <v>15</v>
      </c>
      <c r="B3" s="1">
        <v>100</v>
      </c>
      <c r="C3" s="1"/>
      <c r="D3" s="1">
        <v>22</v>
      </c>
      <c r="E3" s="1">
        <v>14</v>
      </c>
      <c r="F3" s="1">
        <v>10</v>
      </c>
      <c r="G3" s="1">
        <v>4</v>
      </c>
      <c r="H3" s="2" t="s">
        <v>19</v>
      </c>
      <c r="I3" s="2">
        <f>D3/B3</f>
        <v>0.22</v>
      </c>
      <c r="J3" s="2">
        <f>E3/D3</f>
        <v>0.63636363636363635</v>
      </c>
      <c r="K3" s="2">
        <f t="shared" si="0"/>
        <v>0.7142857142857143</v>
      </c>
      <c r="L3" s="2">
        <f t="shared" si="0"/>
        <v>0.4</v>
      </c>
      <c r="M3" s="2">
        <f>G3/B3</f>
        <v>0.04</v>
      </c>
      <c r="N3" s="1" t="s">
        <v>21</v>
      </c>
    </row>
    <row r="4" spans="1:14" x14ac:dyDescent="0.3">
      <c r="A4" s="1" t="s">
        <v>16</v>
      </c>
      <c r="B4" s="1"/>
      <c r="C4" s="1"/>
      <c r="D4" s="1"/>
      <c r="E4" s="1">
        <v>18</v>
      </c>
      <c r="F4" s="1">
        <v>9</v>
      </c>
      <c r="G4" s="1">
        <v>3</v>
      </c>
      <c r="H4" s="2" t="s">
        <v>19</v>
      </c>
      <c r="I4" s="2" t="s">
        <v>19</v>
      </c>
      <c r="J4" s="2" t="s">
        <v>19</v>
      </c>
      <c r="K4" s="2">
        <f t="shared" si="0"/>
        <v>0.5</v>
      </c>
      <c r="L4" s="2">
        <f t="shared" si="0"/>
        <v>0.33333333333333331</v>
      </c>
      <c r="M4" s="2">
        <f>G4/E4</f>
        <v>0.16666666666666666</v>
      </c>
      <c r="N4" s="1" t="s">
        <v>22</v>
      </c>
    </row>
    <row r="5" spans="1:14" x14ac:dyDescent="0.3">
      <c r="A5" s="1" t="s">
        <v>17</v>
      </c>
      <c r="B5" s="1"/>
      <c r="C5" s="1"/>
      <c r="D5" s="1"/>
      <c r="E5" s="1">
        <v>40</v>
      </c>
      <c r="F5" s="1">
        <v>12</v>
      </c>
      <c r="G5" s="1">
        <v>5</v>
      </c>
      <c r="H5" s="2" t="s">
        <v>19</v>
      </c>
      <c r="I5" s="2" t="s">
        <v>19</v>
      </c>
      <c r="J5" s="2" t="s">
        <v>19</v>
      </c>
      <c r="K5" s="2">
        <f t="shared" si="0"/>
        <v>0.3</v>
      </c>
      <c r="L5" s="2">
        <f t="shared" si="0"/>
        <v>0.41666666666666669</v>
      </c>
      <c r="M5" s="2">
        <f>G5/E5</f>
        <v>0.125</v>
      </c>
      <c r="N5" s="1" t="s">
        <v>23</v>
      </c>
    </row>
    <row r="6" spans="1:14" x14ac:dyDescent="0.3">
      <c r="A6" s="1" t="s">
        <v>18</v>
      </c>
      <c r="B6" s="1"/>
      <c r="C6" s="1"/>
      <c r="D6" s="1"/>
      <c r="E6" s="1">
        <v>60</v>
      </c>
      <c r="F6" s="1">
        <v>15</v>
      </c>
      <c r="G6" s="1">
        <v>4</v>
      </c>
      <c r="H6" s="2" t="s">
        <v>19</v>
      </c>
      <c r="I6" s="2" t="s">
        <v>19</v>
      </c>
      <c r="J6" s="2" t="s">
        <v>19</v>
      </c>
      <c r="K6" s="2">
        <f t="shared" si="0"/>
        <v>0.25</v>
      </c>
      <c r="L6" s="2">
        <f t="shared" si="0"/>
        <v>0.26666666666666666</v>
      </c>
      <c r="M6" s="2">
        <f>G6/E6</f>
        <v>6.6666666666666666E-2</v>
      </c>
      <c r="N6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AA58-D291-48D3-9122-B1F5DC34CB04}">
  <dimension ref="A1:P6"/>
  <sheetViews>
    <sheetView workbookViewId="0">
      <selection activeCell="I7" sqref="I7"/>
    </sheetView>
  </sheetViews>
  <sheetFormatPr defaultRowHeight="14.4" x14ac:dyDescent="0.3"/>
  <cols>
    <col min="1" max="1" width="18.77734375" style="9" customWidth="1"/>
    <col min="2" max="2" width="18.5546875" style="4" customWidth="1"/>
    <col min="3" max="4" width="16.109375" style="4" customWidth="1"/>
    <col min="5" max="5" width="17.6640625" style="4" customWidth="1"/>
    <col min="6" max="6" width="17.5546875" style="4" customWidth="1"/>
    <col min="7" max="7" width="24.44140625" style="4" customWidth="1"/>
    <col min="8" max="16384" width="8.88671875" style="4"/>
  </cols>
  <sheetData>
    <row r="1" spans="1:16" s="6" customFormat="1" ht="28.8" x14ac:dyDescent="0.3">
      <c r="A1" s="7" t="s">
        <v>54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I1" s="10" t="s">
        <v>65</v>
      </c>
      <c r="J1" s="10"/>
      <c r="K1" s="10"/>
      <c r="L1" s="10"/>
      <c r="M1" s="10"/>
      <c r="N1" s="10"/>
      <c r="O1" s="10"/>
      <c r="P1" s="10"/>
    </row>
    <row r="2" spans="1:16" ht="72" x14ac:dyDescent="0.3">
      <c r="A2" s="8" t="s">
        <v>25</v>
      </c>
      <c r="B2" s="3" t="s">
        <v>26</v>
      </c>
      <c r="C2" s="3" t="s">
        <v>61</v>
      </c>
      <c r="D2" s="3" t="s">
        <v>27</v>
      </c>
      <c r="E2" s="3" t="s">
        <v>28</v>
      </c>
      <c r="F2" s="3" t="s">
        <v>29</v>
      </c>
      <c r="G2" s="3" t="s">
        <v>30</v>
      </c>
      <c r="I2" s="10"/>
      <c r="J2" s="10"/>
      <c r="K2" s="10"/>
      <c r="L2" s="10"/>
      <c r="M2" s="10"/>
      <c r="N2" s="10"/>
      <c r="O2" s="10"/>
      <c r="P2" s="10"/>
    </row>
    <row r="3" spans="1:16" ht="86.4" x14ac:dyDescent="0.3">
      <c r="A3" s="8" t="s">
        <v>31</v>
      </c>
      <c r="B3" s="3" t="s">
        <v>32</v>
      </c>
      <c r="C3" s="3" t="s">
        <v>62</v>
      </c>
      <c r="D3" s="3" t="s">
        <v>33</v>
      </c>
      <c r="E3" s="3" t="s">
        <v>34</v>
      </c>
      <c r="F3" s="3" t="s">
        <v>35</v>
      </c>
      <c r="G3" s="3" t="s">
        <v>36</v>
      </c>
      <c r="I3" s="10"/>
      <c r="J3" s="10"/>
      <c r="K3" s="10"/>
      <c r="L3" s="10"/>
      <c r="M3" s="10"/>
      <c r="N3" s="10"/>
      <c r="O3" s="10"/>
      <c r="P3" s="10"/>
    </row>
    <row r="4" spans="1:16" ht="72" x14ac:dyDescent="0.3">
      <c r="A4" s="8" t="s">
        <v>16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I4" s="10"/>
      <c r="J4" s="10"/>
      <c r="K4" s="10"/>
      <c r="L4" s="10"/>
      <c r="M4" s="10"/>
      <c r="N4" s="10"/>
      <c r="O4" s="10"/>
      <c r="P4" s="10"/>
    </row>
    <row r="5" spans="1:16" ht="57.6" x14ac:dyDescent="0.3">
      <c r="A5" s="8" t="s">
        <v>17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I5" s="10"/>
      <c r="J5" s="10"/>
      <c r="K5" s="10"/>
      <c r="L5" s="10"/>
      <c r="M5" s="10"/>
      <c r="N5" s="10"/>
      <c r="O5" s="10"/>
      <c r="P5" s="10"/>
    </row>
    <row r="6" spans="1:16" ht="57.6" x14ac:dyDescent="0.3">
      <c r="A6" s="8" t="s">
        <v>49</v>
      </c>
      <c r="B6" s="3" t="s">
        <v>63</v>
      </c>
      <c r="C6" s="3" t="s">
        <v>64</v>
      </c>
      <c r="D6" s="3" t="s">
        <v>50</v>
      </c>
      <c r="E6" s="3" t="s">
        <v>51</v>
      </c>
      <c r="F6" s="3" t="s">
        <v>52</v>
      </c>
      <c r="G6" s="3" t="s">
        <v>53</v>
      </c>
      <c r="I6" s="10"/>
      <c r="J6" s="10"/>
      <c r="K6" s="10"/>
      <c r="L6" s="10"/>
      <c r="M6" s="10"/>
      <c r="N6" s="10"/>
      <c r="O6" s="10"/>
      <c r="P6" s="10"/>
    </row>
  </sheetData>
  <mergeCells count="1">
    <mergeCell ref="I1:P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26EC-19F4-49FD-A34A-B85A76D64A8F}">
  <dimension ref="A1:J78"/>
  <sheetViews>
    <sheetView tabSelected="1" workbookViewId="0">
      <selection activeCell="A79" sqref="A79"/>
    </sheetView>
  </sheetViews>
  <sheetFormatPr defaultRowHeight="14.4" x14ac:dyDescent="0.3"/>
  <sheetData>
    <row r="1" spans="1:10" ht="14.4" customHeight="1" x14ac:dyDescent="0.3">
      <c r="A1" s="12" t="s">
        <v>66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">
      <c r="A2" s="14" t="s">
        <v>70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3">
      <c r="A3" s="14" t="s">
        <v>71</v>
      </c>
      <c r="B3" s="11"/>
      <c r="C3" s="11"/>
      <c r="D3" s="11"/>
      <c r="E3" s="11"/>
      <c r="F3" s="11"/>
      <c r="G3" s="11"/>
      <c r="H3" s="11"/>
      <c r="I3" s="11"/>
      <c r="J3" s="11"/>
    </row>
    <row r="4" spans="1:10" x14ac:dyDescent="0.3">
      <c r="A4" s="14" t="s">
        <v>67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x14ac:dyDescent="0.3">
      <c r="A5" s="14" t="s">
        <v>68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x14ac:dyDescent="0.3">
      <c r="A6" s="14" t="s">
        <v>72</v>
      </c>
      <c r="B6" s="11"/>
      <c r="C6" s="11"/>
      <c r="D6" s="11"/>
      <c r="E6" s="11"/>
      <c r="F6" s="11"/>
      <c r="G6" s="11"/>
      <c r="H6" s="11"/>
      <c r="I6" s="11"/>
      <c r="J6" s="11"/>
    </row>
    <row r="7" spans="1:10" x14ac:dyDescent="0.3">
      <c r="A7" s="14" t="s">
        <v>69</v>
      </c>
      <c r="B7" s="11"/>
      <c r="C7" s="11"/>
      <c r="D7" s="11"/>
      <c r="E7" s="11"/>
      <c r="F7" s="11"/>
      <c r="G7" s="11"/>
      <c r="H7" s="11"/>
      <c r="I7" s="11"/>
      <c r="J7" s="11"/>
    </row>
    <row r="8" spans="1:10" x14ac:dyDescent="0.3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ht="17.399999999999999" x14ac:dyDescent="0.3">
      <c r="A9" s="12" t="s">
        <v>73</v>
      </c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3">
      <c r="A10" s="14" t="s">
        <v>74</v>
      </c>
      <c r="B10" s="11"/>
      <c r="C10" s="11"/>
      <c r="D10" s="11"/>
      <c r="E10" s="11"/>
      <c r="F10" s="11"/>
      <c r="G10" s="11"/>
      <c r="H10" s="11"/>
      <c r="I10" s="11"/>
      <c r="J10" s="11"/>
    </row>
    <row r="11" spans="1:10" x14ac:dyDescent="0.3">
      <c r="A11" s="14" t="s">
        <v>75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17.399999999999999" x14ac:dyDescent="0.3">
      <c r="A13" s="12" t="s">
        <v>76</v>
      </c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3">
      <c r="A14" s="14" t="s">
        <v>77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x14ac:dyDescent="0.3">
      <c r="A15" s="14" t="s">
        <v>78</v>
      </c>
      <c r="B15" s="11"/>
      <c r="C15" s="11"/>
      <c r="D15" s="11"/>
      <c r="E15" s="11"/>
      <c r="F15" s="11"/>
      <c r="G15" s="11"/>
      <c r="H15" s="11"/>
      <c r="I15" s="11"/>
      <c r="J15" s="11"/>
    </row>
    <row r="16" spans="1:10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43" spans="1:1" ht="17.399999999999999" x14ac:dyDescent="0.3">
      <c r="A43" s="12" t="s">
        <v>79</v>
      </c>
    </row>
    <row r="44" spans="1:1" x14ac:dyDescent="0.3">
      <c r="A44" s="14" t="s">
        <v>84</v>
      </c>
    </row>
    <row r="45" spans="1:1" x14ac:dyDescent="0.3">
      <c r="A45" s="14" t="s">
        <v>80</v>
      </c>
    </row>
    <row r="46" spans="1:1" x14ac:dyDescent="0.3">
      <c r="A46" s="15" t="s">
        <v>81</v>
      </c>
    </row>
    <row r="47" spans="1:1" x14ac:dyDescent="0.3">
      <c r="A47" s="15" t="s">
        <v>82</v>
      </c>
    </row>
    <row r="48" spans="1:1" x14ac:dyDescent="0.3">
      <c r="A48" s="15" t="s">
        <v>83</v>
      </c>
    </row>
    <row r="50" spans="1:1" x14ac:dyDescent="0.3">
      <c r="A50" t="s">
        <v>85</v>
      </c>
    </row>
    <row r="51" spans="1:1" x14ac:dyDescent="0.3">
      <c r="A51" t="s">
        <v>90</v>
      </c>
    </row>
    <row r="52" spans="1:1" x14ac:dyDescent="0.3">
      <c r="A52" t="s">
        <v>86</v>
      </c>
    </row>
    <row r="53" spans="1:1" x14ac:dyDescent="0.3">
      <c r="A53" t="s">
        <v>91</v>
      </c>
    </row>
    <row r="54" spans="1:1" x14ac:dyDescent="0.3">
      <c r="A54" t="s">
        <v>87</v>
      </c>
    </row>
    <row r="55" spans="1:1" x14ac:dyDescent="0.3">
      <c r="A55" t="s">
        <v>92</v>
      </c>
    </row>
    <row r="56" spans="1:1" x14ac:dyDescent="0.3">
      <c r="A56" t="s">
        <v>88</v>
      </c>
    </row>
    <row r="57" spans="1:1" x14ac:dyDescent="0.3">
      <c r="A57" t="s">
        <v>93</v>
      </c>
    </row>
    <row r="58" spans="1:1" x14ac:dyDescent="0.3">
      <c r="A58" t="s">
        <v>89</v>
      </c>
    </row>
    <row r="60" spans="1:1" ht="17.399999999999999" x14ac:dyDescent="0.3">
      <c r="A60" s="12" t="s">
        <v>94</v>
      </c>
    </row>
    <row r="61" spans="1:1" x14ac:dyDescent="0.3">
      <c r="A61" s="14" t="s">
        <v>95</v>
      </c>
    </row>
    <row r="62" spans="1:1" x14ac:dyDescent="0.3">
      <c r="A62" s="15" t="s">
        <v>96</v>
      </c>
    </row>
    <row r="63" spans="1:1" x14ac:dyDescent="0.3">
      <c r="A63" s="15" t="s">
        <v>97</v>
      </c>
    </row>
    <row r="64" spans="1:1" x14ac:dyDescent="0.3">
      <c r="A64" s="14" t="s">
        <v>98</v>
      </c>
    </row>
    <row r="66" spans="1:1" ht="17.399999999999999" x14ac:dyDescent="0.3">
      <c r="A66" s="12" t="s">
        <v>99</v>
      </c>
    </row>
    <row r="67" spans="1:1" s="16" customFormat="1" x14ac:dyDescent="0.3">
      <c r="A67" s="13" t="s">
        <v>100</v>
      </c>
    </row>
    <row r="68" spans="1:1" x14ac:dyDescent="0.3">
      <c r="A68" s="15" t="s">
        <v>101</v>
      </c>
    </row>
    <row r="69" spans="1:1" x14ac:dyDescent="0.3">
      <c r="A69" s="15" t="s">
        <v>102</v>
      </c>
    </row>
    <row r="70" spans="1:1" x14ac:dyDescent="0.3">
      <c r="A70" s="15" t="s">
        <v>107</v>
      </c>
    </row>
    <row r="71" spans="1:1" s="16" customFormat="1" x14ac:dyDescent="0.3">
      <c r="A71" s="13" t="s">
        <v>103</v>
      </c>
    </row>
    <row r="72" spans="1:1" x14ac:dyDescent="0.3">
      <c r="A72" s="15" t="s">
        <v>108</v>
      </c>
    </row>
    <row r="73" spans="1:1" x14ac:dyDescent="0.3">
      <c r="A73" s="15" t="s">
        <v>109</v>
      </c>
    </row>
    <row r="74" spans="1:1" x14ac:dyDescent="0.3">
      <c r="A74" s="15" t="s">
        <v>110</v>
      </c>
    </row>
    <row r="75" spans="1:1" s="16" customFormat="1" x14ac:dyDescent="0.3">
      <c r="A75" s="13" t="s">
        <v>104</v>
      </c>
    </row>
    <row r="76" spans="1:1" x14ac:dyDescent="0.3">
      <c r="A76" s="15" t="s">
        <v>105</v>
      </c>
    </row>
    <row r="77" spans="1:1" x14ac:dyDescent="0.3">
      <c r="A77" s="15" t="s">
        <v>106</v>
      </c>
    </row>
    <row r="78" spans="1:1" x14ac:dyDescent="0.3">
      <c r="A78" s="15" t="s">
        <v>111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Воронка и расчеты</vt:lpstr>
      <vt:lpstr>Выводы</vt:lpstr>
      <vt:lpstr>Подготовка канала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arinamaksina@yandex.ru</dc:creator>
  <cp:lastModifiedBy>arinamaksina@yandex.ru</cp:lastModifiedBy>
  <dcterms:created xsi:type="dcterms:W3CDTF">2026-09-27T19:58:33Z</dcterms:created>
  <dcterms:modified xsi:type="dcterms:W3CDTF">2026-09-28T09:08:08Z</dcterms:modified>
</cp:coreProperties>
</file>