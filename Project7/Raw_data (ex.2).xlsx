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D7AA067B-DE4F-45A0-97EA-13BBF57C0E59}" xr6:coauthVersionLast="47" xr6:coauthVersionMax="47" xr10:uidLastSave="{00000000-0000-0000-0000-000000000000}"/>
  <bookViews>
    <workbookView xWindow="-108" yWindow="-108" windowWidth="23256" windowHeight="13896" firstSheet="2" activeTab="12" xr2:uid="{00000000-000D-0000-FFFF-FFFF00000000}"/>
  </bookViews>
  <sheets>
    <sheet name="Details" sheetId="1" r:id="rId1"/>
    <sheet name="Metrics" sheetId="2" r:id="rId2"/>
    <sheet name="Support" sheetId="3" r:id="rId3"/>
    <sheet name="Reviews" sheetId="4" r:id="rId4"/>
    <sheet name="Team" sheetId="5" r:id="rId5"/>
    <sheet name="HADI" sheetId="6" r:id="rId6"/>
    <sheet name="MVP_MLP" sheetId="7" r:id="rId7"/>
    <sheet name="AB_Test" sheetId="8" r:id="rId8"/>
    <sheet name="RAT" sheetId="9" r:id="rId9"/>
    <sheet name="Prototype_Flow" sheetId="10" r:id="rId10"/>
    <sheet name="EX1.1" sheetId="11" r:id="rId11"/>
    <sheet name="EX1.2" sheetId="12" r:id="rId12"/>
    <sheet name="EX.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2" l="1"/>
  <c r="E12" i="12"/>
  <c r="E10" i="1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2" i="2"/>
</calcChain>
</file>

<file path=xl/sharedStrings.xml><?xml version="1.0" encoding="utf-8"?>
<sst xmlns="http://schemas.openxmlformats.org/spreadsheetml/2006/main" count="724" uniqueCount="438">
  <si>
    <t>Что лежит в файле</t>
  </si>
  <si>
    <t>Лист 1. Metrics</t>
  </si>
  <si>
    <t>Сырые показатели воронки за последние 4 недели:</t>
  </si>
  <si>
    <t>просмотр карточки товара;</t>
  </si>
  <si>
    <t>добавление в корзину;</t>
  </si>
  <si>
    <t>переход к оформлению;</t>
  </si>
  <si>
    <t>ввод данных;</t>
  </si>
  <si>
    <t>подтверждение заказа;</t>
  </si>
  <si>
    <t>итоговая конверсия;</t>
  </si>
  <si>
    <t>разбивка по сегментам пользователей.</t>
  </si>
  <si>
    <t>Лист 2. Support</t>
  </si>
  <si>
    <t>Обращения пользователей в поддержку в свободной форме:</t>
  </si>
  <si>
    <t>текст обращения;</t>
  </si>
  <si>
    <t>дата;</t>
  </si>
  <si>
    <t>канал;</t>
  </si>
  <si>
    <t>тип проблемы;</t>
  </si>
  <si>
    <t>эмоциональный тон.</t>
  </si>
  <si>
    <t>Лист 3. Reviews</t>
  </si>
  <si>
    <t>Отзывы пользователей из app store / внутренней обратной связи:</t>
  </si>
  <si>
    <t>текст отзыва;</t>
  </si>
  <si>
    <t>оценка;</t>
  </si>
  <si>
    <t>тема;</t>
  </si>
  <si>
    <t>что пользователь считает проблемой.</t>
  </si>
  <si>
    <t>Лист 4. Team</t>
  </si>
  <si>
    <t>Наблюдения аналитика и команды:</t>
  </si>
  <si>
    <t>где проседает воронка;</t>
  </si>
  <si>
    <t>какие экраны вызывают отказы;</t>
  </si>
  <si>
    <t>какие идеи уже звучали;</t>
  </si>
  <si>
    <t>какие ограничения есть у команды.</t>
  </si>
  <si>
    <t>Ограничения проекта:</t>
  </si>
  <si>
    <t>Срок</t>
  </si>
  <si>
    <t>1 спринт</t>
  </si>
  <si>
    <t>Команда</t>
  </si>
  <si>
    <t>Продакт, дизайнер, аналитик, 1–2 разработчика</t>
  </si>
  <si>
    <t>Изменения в бэкенде</t>
  </si>
  <si>
    <t>Минимальные, по возможности без сложной доработки</t>
  </si>
  <si>
    <t>Ключевая цель</t>
  </si>
  <si>
    <t>Рост конверсии из корзины в заказ</t>
  </si>
  <si>
    <t>Формат работы</t>
  </si>
  <si>
    <t>Гипотеза → приоритизация → HADI → MVP/MLP → тест</t>
  </si>
  <si>
    <t>Инструменты</t>
  </si>
  <si>
    <t>Notion / аналоги, Figma, Yandex Tracker</t>
  </si>
  <si>
    <t>Ограничение эксперимента</t>
  </si>
  <si>
    <t>Только быстро проверяемые сценарии</t>
  </si>
  <si>
    <t>Данные аналитики</t>
  </si>
  <si>
    <t>Доступны только агрегаты без raw event stream</t>
  </si>
  <si>
    <t>Проверка гипотезы</t>
  </si>
  <si>
    <t>Только 1 спринт на исследование и тест</t>
  </si>
  <si>
    <t>Прототипирование</t>
  </si>
  <si>
    <t>Без глубокой проработки фирменного стиля</t>
  </si>
  <si>
    <t>Тестирование</t>
  </si>
  <si>
    <t>Можно использовать quick usability / A/B-lite</t>
  </si>
  <si>
    <t>Коммуникация</t>
  </si>
  <si>
    <t>Результат должен быть понятен CEO и команде</t>
  </si>
  <si>
    <t>date</t>
  </si>
  <si>
    <t>stage</t>
  </si>
  <si>
    <t>users_in</t>
  </si>
  <si>
    <t>users_out</t>
  </si>
  <si>
    <t>conversion</t>
  </si>
  <si>
    <t>2026-03-09</t>
  </si>
  <si>
    <t>Просмотр карточки</t>
  </si>
  <si>
    <t>Задание</t>
  </si>
  <si>
    <t>Добавление в корзину</t>
  </si>
  <si>
    <t>Нужно посчитать конверсию и протянуть формулу</t>
  </si>
  <si>
    <t>Переход к оформлению</t>
  </si>
  <si>
    <t>Ввод данных</t>
  </si>
  <si>
    <t>Подтверждение заказа</t>
  </si>
  <si>
    <t>2026-03-16</t>
  </si>
  <si>
    <t>2026-03-23</t>
  </si>
  <si>
    <t>2026-03-30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</si>
  <si>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</si>
  <si>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</si>
  <si>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</si>
  <si>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</si>
  <si>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</si>
  <si>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</si>
  <si>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</si>
  <si>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</si>
  <si>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</si>
  <si>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</si>
  <si>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</si>
  <si>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</si>
  <si>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datetime</t>
  </si>
  <si>
    <t>channel</t>
  </si>
  <si>
    <t>message</t>
  </si>
  <si>
    <t>topic</t>
  </si>
  <si>
    <t>sentiment</t>
  </si>
  <si>
    <t>2026-04-01 09:14</t>
  </si>
  <si>
    <t>Чат</t>
  </si>
  <si>
    <t>Не понял, почему доставка стала дороже на следующем шаге</t>
  </si>
  <si>
    <t>Цена изменилась после корзины</t>
  </si>
  <si>
    <t>negative</t>
  </si>
  <si>
    <t>2026-04-01 11:02</t>
  </si>
  <si>
    <t>Хочу менять количество товара в корзине, но боюсь сбросить оформление</t>
  </si>
  <si>
    <t>Сложно менять корзину</t>
  </si>
  <si>
    <t>2026-04-02 08:41</t>
  </si>
  <si>
    <t>Почта</t>
  </si>
  <si>
    <t>Не вижу, когда привезут заказ, без этого не готов оформлять</t>
  </si>
  <si>
    <t>Нет информации о доставке</t>
  </si>
  <si>
    <t>2026-04-02 13:26</t>
  </si>
  <si>
    <t>Промокод применился, но скидка отобразилась не сразу</t>
  </si>
  <si>
    <t>Проблема с промокодом</t>
  </si>
  <si>
    <t>2026-04-03 10:18</t>
  </si>
  <si>
    <t>Слишком много шагов, я закрыл приложение и потом не вернулся</t>
  </si>
  <si>
    <t>Слишком длинный сценарий</t>
  </si>
  <si>
    <t>2026-04-03 18:44</t>
  </si>
  <si>
    <t>Не понимаю, куда уйдут деньги и как подтверждается оплата</t>
  </si>
  <si>
    <t>Недоверие к оплате</t>
  </si>
  <si>
    <t>2026-04-04 12:07</t>
  </si>
  <si>
    <t>Почему корзина не сохраняет изменения после возврата назад?</t>
  </si>
  <si>
    <t>Проблема возврата в сценарии</t>
  </si>
  <si>
    <t>neutral</t>
  </si>
  <si>
    <t>2026-04-04 19:32</t>
  </si>
  <si>
    <t>У меня все получилось, но оформление заняло дольше, чем ожидал</t>
  </si>
  <si>
    <t>Долгое оформление</t>
  </si>
  <si>
    <t>2026-04-05 09:15</t>
  </si>
  <si>
    <t>Добавил товар ночью, утром цена уже другая, и я передумал</t>
  </si>
  <si>
    <t>Изменение цены</t>
  </si>
  <si>
    <t>2026-04-05 16:50</t>
  </si>
  <si>
    <t>На телефоне неудобно читать детали доставки, шрифт мелкий</t>
  </si>
  <si>
    <t>Проблема читаемости</t>
  </si>
  <si>
    <t>2026-04-06 00:00</t>
  </si>
  <si>
    <t>Не нашел, как посмотреть стоимость доставки до оплаты</t>
  </si>
  <si>
    <t>delivery info</t>
  </si>
  <si>
    <t>2026-04-07 00:00</t>
  </si>
  <si>
    <t>Корзина долго думает, когда меняю количество товара</t>
  </si>
  <si>
    <t>performance</t>
  </si>
  <si>
    <t>2026-04-08 00:00</t>
  </si>
  <si>
    <t>После возврата назад промокод слетел</t>
  </si>
  <si>
    <t>promo bug</t>
  </si>
  <si>
    <t>2026-04-09 00:00</t>
  </si>
  <si>
    <t>Не понимаю, можно ли оплатить позже</t>
  </si>
  <si>
    <t>payment clarity</t>
  </si>
  <si>
    <t>2026-04-10 00:00</t>
  </si>
  <si>
    <t>Слишком много полей для ввода</t>
  </si>
  <si>
    <t>form complexity</t>
  </si>
  <si>
    <t>2026-04-11 00:00</t>
  </si>
  <si>
    <t>Не доверяю, потому что не вижу итоговую сумму сразу</t>
  </si>
  <si>
    <t>trust</t>
  </si>
  <si>
    <t>2026-04-12 00:00</t>
  </si>
  <si>
    <t>Удобно, что можно вернуться к корзине без потери данных</t>
  </si>
  <si>
    <t>navigation</t>
  </si>
  <si>
    <t>positive</t>
  </si>
  <si>
    <t>2026-04-13 00:00</t>
  </si>
  <si>
    <t>Доставка оказалась дороже, чем ожидал</t>
  </si>
  <si>
    <t>price mismatch</t>
  </si>
  <si>
    <t>2026-04-14 00:00</t>
  </si>
  <si>
    <t>Не вижу, как быстро удалить лишний товар из корзины</t>
  </si>
  <si>
    <t>cart edit</t>
  </si>
  <si>
    <t>2026-04-15 00:00</t>
  </si>
  <si>
    <t>Сайт/приложение просит заново вводить адрес</t>
  </si>
  <si>
    <t>repeat input</t>
  </si>
  <si>
    <t>2026-04-16 00:00</t>
  </si>
  <si>
    <t>Понравилось, что есть несколько способов оплаты</t>
  </si>
  <si>
    <t>payment options</t>
  </si>
  <si>
    <t>2026-04-17 00:00</t>
  </si>
  <si>
    <t>На маленьком экране кнопки мелкие, случайно нажал не туда</t>
  </si>
  <si>
    <t>mobile usability</t>
  </si>
  <si>
    <t>2026-04-18 00:00</t>
  </si>
  <si>
    <t>Не смог понять разницу между доставкой сегодня и завтра</t>
  </si>
  <si>
    <t>delivery choice</t>
  </si>
  <si>
    <t>2026-04-19 00:00</t>
  </si>
  <si>
    <t>Зависло на экране подтверждения</t>
  </si>
  <si>
    <t>bug</t>
  </si>
  <si>
    <t>2026-04-20 00:00</t>
  </si>
  <si>
    <t>Хотел бы быстро оформить, но страшно потерять скидку</t>
  </si>
  <si>
    <t>discount fear</t>
  </si>
  <si>
    <t>2026-04-21 00:00</t>
  </si>
  <si>
    <t>2026-04-22 00:00</t>
  </si>
  <si>
    <t>2026-04-23 00:00</t>
  </si>
  <si>
    <t>2026-04-24 00:00</t>
  </si>
  <si>
    <t>2026-04-25 00:00</t>
  </si>
  <si>
    <t>rating</t>
  </si>
  <si>
    <t>review_text</t>
  </si>
  <si>
    <t>theme</t>
  </si>
  <si>
    <t>2026-03-28</t>
  </si>
  <si>
    <t>Корзина удобная, но оформление запутанное</t>
  </si>
  <si>
    <t>checkout flow</t>
  </si>
  <si>
    <t>Пока дошел до доставки, передумал покупать</t>
  </si>
  <si>
    <t>delivery step</t>
  </si>
  <si>
    <t>2026-03-29</t>
  </si>
  <si>
    <t>Слишком долго выбирать способ доставки и оплаты</t>
  </si>
  <si>
    <t>checkout complexity</t>
  </si>
  <si>
    <t>Не понял, почему цена в корзине и на следующем экране отличается</t>
  </si>
  <si>
    <t>price trust</t>
  </si>
  <si>
    <t>Нравится выбор товаров, но дальше я теряюсь</t>
  </si>
  <si>
    <t>Не доверяю оформлению заказа, неясно, куда уходят деньги</t>
  </si>
  <si>
    <t>payment trust</t>
  </si>
  <si>
    <t>2026-04-01</t>
  </si>
  <si>
    <t>Хотел купить быстро, но пришлось проверять все заново</t>
  </si>
  <si>
    <t>recheck</t>
  </si>
  <si>
    <t>2026-04-02</t>
  </si>
  <si>
    <t>Доставка слишком поздно показана, поэтому не стал оформлять</t>
  </si>
  <si>
    <t>2026-04-03</t>
  </si>
  <si>
    <t>Промокод сработал, но я не сразу увидел итоговую выгоду</t>
  </si>
  <si>
    <t>promo clarity</t>
  </si>
  <si>
    <t>2026-04-04</t>
  </si>
  <si>
    <t>Слишком много экранов перед оплатой</t>
  </si>
  <si>
    <t>too many steps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</si>
  <si>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</si>
  <si>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</si>
  <si>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</si>
  <si>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</si>
  <si>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</si>
  <si>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</si>
  <si>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</si>
  <si>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</si>
  <si>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2026-04-16</t>
  </si>
  <si>
    <t>Все ок, но хотелось бы видеть итог сразу</t>
  </si>
  <si>
    <t>summary</t>
  </si>
  <si>
    <t>2026-04-17</t>
  </si>
  <si>
    <t>Из-за цены доставки отказался от покупки</t>
  </si>
  <si>
    <t>delivery price</t>
  </si>
  <si>
    <t>2026-04-18</t>
  </si>
  <si>
    <t>Оформление слишком долгое для телефона</t>
  </si>
  <si>
    <t>mobile friction</t>
  </si>
  <si>
    <t>2026-04-19</t>
  </si>
  <si>
    <t>Понравилось, что можно вернуться назад</t>
  </si>
  <si>
    <t>2026-04-20</t>
  </si>
  <si>
    <t>Не хватило доверия к оплате картой</t>
  </si>
  <si>
    <t>2026-04-22</t>
  </si>
  <si>
    <t>2026-04-23</t>
  </si>
  <si>
    <t>2026-04-24</t>
  </si>
  <si>
    <t>2026-04-25</t>
  </si>
  <si>
    <t>points</t>
  </si>
  <si>
    <t>detail</t>
  </si>
  <si>
    <t>Высокий exit-rate на экране корзины</t>
  </si>
  <si>
    <t>Пользователь часто покидает сценарий до оформления заказа</t>
  </si>
  <si>
    <t>Сильный уход на этапе доставки</t>
  </si>
  <si>
    <t>Именно доставка и её условия вызывают наибольшее число отказов</t>
  </si>
  <si>
    <t>Повторный возврат к карточке товара</t>
  </si>
  <si>
    <t>Пользователь ищет подтверждение цены, характеристик или доставки</t>
  </si>
  <si>
    <t>Чувствительность к цене</t>
  </si>
  <si>
    <t>Даже небольшое изменение стоимости вызывает сомнения</t>
  </si>
  <si>
    <t>Недостаток доверия к оплате</t>
  </si>
  <si>
    <t>Часть пользователей не понимает, куда уйдут деньги и что будет дальше</t>
  </si>
  <si>
    <t>Жалобы на длинный сценарий</t>
  </si>
  <si>
    <t>Пользователи воспринимают оформление как слишком сложное и длинное</t>
  </si>
  <si>
    <t>Промокоды создают дополнительную паузу</t>
  </si>
  <si>
    <t>Скидка не всегда считывается мгновенно и понятно</t>
  </si>
  <si>
    <t>Мобильный сценарий требует упрощения</t>
  </si>
  <si>
    <t>На небольшом экране пользователю трудно быстро сравнить детали</t>
  </si>
  <si>
    <t>Пользователь сравнивает цены на нескольких шагах</t>
  </si>
  <si>
    <t>Чем позже показывается итог, тем выше риск отказа</t>
  </si>
  <si>
    <t>Неочевидность доставки влияет на доверие</t>
  </si>
  <si>
    <t>Пользователь хочет видеть срок и стоимость заранее</t>
  </si>
  <si>
    <t>Переоформление вызывает раздражение</t>
  </si>
  <si>
    <t>Повторный ввод данных выглядит как потеря времени</t>
  </si>
  <si>
    <t>Пользователь чувствителен к скидкам</t>
  </si>
  <si>
    <t>Если выгода неочевидна сразу, мотивация падает</t>
  </si>
  <si>
    <t>Мобильный UX должен быть коротким</t>
  </si>
  <si>
    <t>На маленьком экране каждый лишний шаг заметен сильнее</t>
  </si>
  <si>
    <t>section</t>
  </si>
  <si>
    <t>question</t>
  </si>
  <si>
    <t>student_answer</t>
  </si>
  <si>
    <t>Hypothesis</t>
  </si>
  <si>
    <t>Какую гипотезу ты проверяешь?</t>
  </si>
  <si>
    <t>Для какого сегмента пользователей эта гипотеза?</t>
  </si>
  <si>
    <t>Какую метрику должна улучшить гипотеза?</t>
  </si>
  <si>
    <t>Почему ты считаешь, что это сработает?</t>
  </si>
  <si>
    <t>Action</t>
  </si>
  <si>
    <t>Какое изменение в продукте ты запускаешь?</t>
  </si>
  <si>
    <t>Что именно увидит пользователь?</t>
  </si>
  <si>
    <t>На какой аудитории и в каком объеме запускается проверка?</t>
  </si>
  <si>
    <t>Data</t>
  </si>
  <si>
    <t>Какая основная метрика успеха?</t>
  </si>
  <si>
    <t>Какие контр метрики ты отслеживаешь и почему их важно не ухудшить?</t>
  </si>
  <si>
    <t>Какие метрики справочно будешь смотреть?</t>
  </si>
  <si>
    <t>Insights</t>
  </si>
  <si>
    <t>Что будет считаться подтверждением гипотезы?</t>
  </si>
  <si>
    <t>Что будешь делать, если гипотеза не подтвердится?</t>
  </si>
  <si>
    <t>Что будешь делать, если эффект неоднозначный?</t>
  </si>
  <si>
    <t>block</t>
  </si>
  <si>
    <t>Format</t>
  </si>
  <si>
    <t>Это MVP или MLP? Почему?</t>
  </si>
  <si>
    <t>Какую минимальную ценность должен получить пользователь?</t>
  </si>
  <si>
    <t>Screens</t>
  </si>
  <si>
    <t>Какие 3 ключевых экрана нужны для проверки?</t>
  </si>
  <si>
    <t>Какие состояния нужно показать?</t>
  </si>
  <si>
    <t>Elements</t>
  </si>
  <si>
    <t>Какие элементы интерфейса критичны для теста?</t>
  </si>
  <si>
    <t>Scope</t>
  </si>
  <si>
    <t>Что сознательно НЕ входит в эту версию?</t>
  </si>
  <si>
    <t>Почему именно такой объем решения достаточен для проверки?</t>
  </si>
  <si>
    <t>Variants</t>
  </si>
  <si>
    <t>Что такое вариант A (контроль)?</t>
  </si>
  <si>
    <t>Что такое вариант B (измененный сценарий)?</t>
  </si>
  <si>
    <t>Audience</t>
  </si>
  <si>
    <t>Какой сегмент пользователей попадает в тест?</t>
  </si>
  <si>
    <t>Как будет распределяться трафик?</t>
  </si>
  <si>
    <t>Metrics</t>
  </si>
  <si>
    <t>Какая ключевая метрика/и?</t>
  </si>
  <si>
    <t>Какие контр/противполодные метрики?</t>
  </si>
  <si>
    <t>Какие метрики смотрим справочно?</t>
  </si>
  <si>
    <t>Success</t>
  </si>
  <si>
    <t>Какой порог будет считаться успехом?</t>
  </si>
  <si>
    <t>Stop</t>
  </si>
  <si>
    <t>По какому правилу ты останавишь тест?</t>
  </si>
  <si>
    <t>Risks</t>
  </si>
  <si>
    <t>Какие риски и искажения могут повлиять на результат?</t>
  </si>
  <si>
    <t>Какая primary metric?</t>
  </si>
  <si>
    <t>Какие secondary metrics?</t>
  </si>
  <si>
    <t>Какие guardrail metrics?</t>
  </si>
  <si>
    <t>По какому правилу ты останавливишь тест?</t>
  </si>
  <si>
    <t>step</t>
  </si>
  <si>
    <t>screen_or_stage</t>
  </si>
  <si>
    <t>user_goal</t>
  </si>
  <si>
    <t>user_question</t>
  </si>
  <si>
    <t>risk_closed</t>
  </si>
  <si>
    <t>Воронка проседает в самом начале - на этапе просмотра карточки. В среднем показатель конверсии на данном этапе - 18,36%. При анализе сообщений поддержки были выявлены такие проблемы, как: "долгая загрузка корзины", "стоимость доставки", "непонятный функционал", "проблемы с промокодом". По нейтральной оценке - "можно ли оплатить позже". Если оценивать именно обратную связь, то очень много негативных оценок относятся к проблемам с доставкой и ценой. Оценка 1 - "недоверие оплате", оценка 2 - "доставка и цена товара", оценка 3 - "выбор способа оплаты и перепроверка данных".</t>
  </si>
  <si>
    <t>Если добавить на карточку товара блок с прозрачным расчетом стоимости/сроков доставки и бейджами надежной оплаты (включая опцию «Оплата при получении / сплит»), то конверсия из просмотра карточки в добавление в корзину вырастет, так как снизится фактор неопределенности и недоверия.</t>
  </si>
  <si>
    <t>Для всех пользователей мобильного приложения/сайта, просматривающих карточки товаров (с фокусом на новых пользователей без предыдущих покупок).</t>
  </si>
  <si>
    <t>Конверсию этапа «Просмотр карточки -&gt; Добавление в корзину» (Add-to-Cart CR) со среднего 18,36%.</t>
  </si>
  <si>
    <t>Качественный анализ поддержки и низких оценок (1–3) показал, что основные барьеры — «недоверие к оплате», скрытая «стоимость доставки» и непонимание условий («можно ли оплатить позже»). Снятие этих вопросов прямо в карточке устраняет страх покупки до перехода в корзину.</t>
  </si>
  <si>
    <t>Редизайн информационного блока карточки товара: вынос калькулятора доставки по геопозиции и блока гарантий безопасной оплаты.</t>
  </si>
  <si>
    <t>На 100% трафика карточек товаров в рамках A/B-теста с делением 50/50: 50% пользователей видят старую карточку (контроль), 50% — обновленную (тест).</t>
  </si>
  <si>
    <t>Доля переходов в корзину. Количество обращений в техподдержку по темам «доставка» и «оплата». Средний чек (AOV).</t>
  </si>
  <si>
    <t>Рост конверсии в корзину зафиксирован на уровне &gt;= +2 процентных пункта с p-value &lt; 0,05 при отсутствии просадки в скорости загрузки и финальной оплате.</t>
  </si>
  <si>
    <t>Откатить изменения (вернуть базовую версию). Провести серию глубинных интервью (CustDev) с пользователями, бросающими карточку, и проверить гипотезу о цене самого товара либо технической проблеме с кнопкой добавления.</t>
  </si>
  <si>
    <t>Если p-value &gt;= 0,05 или метрика выросла только в одном сегменте: провести сегментный анализ по городам/категориям товаров, доработать логику отображения и продлить тест еще на 1 неделю для донабора выборки.</t>
  </si>
  <si>
    <r>
      <t xml:space="preserve">Под ценой товара появится строка: 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 xml:space="preserve"> + плашки </t>
    </r>
    <r>
      <rPr>
        <i/>
        <sz val="11"/>
        <color theme="1"/>
        <rFont val="Calibri"/>
        <family val="2"/>
        <charset val="204"/>
        <scheme val="minor"/>
      </rPr>
      <t>«Оплата при получении / Долями»</t>
    </r>
    <r>
      <rPr>
        <sz val="11"/>
        <color theme="1"/>
        <rFont val="Calibri"/>
        <family val="2"/>
        <charset val="204"/>
        <scheme val="minor"/>
      </rPr>
      <t xml:space="preserve"> и значок </t>
    </r>
    <r>
      <rPr>
        <i/>
        <sz val="11"/>
        <color theme="1"/>
        <rFont val="Calibri"/>
        <family val="2"/>
        <charset val="204"/>
        <scheme val="minor"/>
      </rPr>
      <t>«Безопасная сделка»</t>
    </r>
    <r>
      <rPr>
        <sz val="11"/>
        <color theme="1"/>
        <rFont val="Calibri"/>
        <family val="2"/>
        <charset val="204"/>
        <scheme val="minor"/>
      </rPr>
      <t>.</t>
    </r>
  </si>
  <si>
    <r>
      <t>Время загрузки страницы карточки товара:</t>
    </r>
    <r>
      <rPr>
        <sz val="11"/>
        <color theme="1"/>
        <rFont val="Calibri"/>
        <family val="2"/>
        <charset val="204"/>
        <scheme val="minor"/>
      </rPr>
      <t xml:space="preserve"> новый виджет расчета не должен замедлять экран (пользователи уже жалуются на медленную загрузку).</t>
    </r>
    <r>
      <rPr>
        <i/>
        <sz val="11"/>
        <color theme="1"/>
        <rFont val="Calibri"/>
        <family val="2"/>
        <charset val="204"/>
        <scheme val="minor"/>
      </rPr>
      <t xml:space="preserve"> Сквозная конверсия в оплаченный заказ: важно, чтобы рост добавлений в корзину не привел к падению выкупа на финальном шаге.</t>
    </r>
  </si>
  <si>
    <t>Ключевое падение в начале воронки: этап «Просмотр карточки» показывает конверсию всего 18,40%. Сервис теряет 81,60% аудитории на самом первом шаге (81,600 пользователей из 100,000 отсеиваются до корзины). Ключевое падение в процессе чекаута: этап «Ввод данных» конвертируется в 52,04% (отток почти половины аудитории — 47,96%, или 4,292 пользователя).  Сквозная конверсия (End-to-End CR): из 100,000 пользователей подтверждают заказ лишь 3,016 человек (3,02%).</t>
  </si>
  <si>
    <t xml:space="preserve">Непрозрачность доставки: отсутствие информации о сроках и стоимости доставки до перехода к оплате («Не нашел, как посмотреть стоимость доставки до оплаты», «Доставка оказалась дороже, чем ожидал»).   Сложность оформления и много экранов: перегруженность форм и лишние шаги («Слишком много полей для ввода», «Слишком много экранов перед оплатой», «Оформление слишком долгое для телефона»).   Технические баги корзины: сброс промокодов при возврате назад, зависание приложения и долгий отклик интерфейса («Корзина долго думает, когда меняю количество товара», «После возврата назад промокод слетел»).   </t>
  </si>
  <si>
    <t xml:space="preserve">«Недоверие к оплате» (оценки 1): пользователи опасаются вводить карточные данные, так как не понимают, куда уходят деньги, и не видят итоговую сумму списания заранее («Не доверяю, потому что не вижу итоговую сумму сразу»).   «Несоответствие цен» (оценки 2): подозрение вызывает изменение цены между корзиной и экраном оформления из-за внезапно добавленной стоимости доставки («Не понял, почему доставка стала дороже на следующем шаге»). </t>
  </si>
  <si>
    <t>На этапе «Просмотр карточки» конверсия в корзину составляет всего 18,40%, что отсекает 81,60% входящего трафика в самом начале воронки. Анализ обращений в поддержку и оценок 1–2 показал, что пользователи (в особенности мобильная аудитория и новые клиенты) сталкиваются с непрозрачностью итоговой стоимости: условия и цена доставки скрыты вплоть до финальных экранов оформления. Это порождает ощущение обмана, провоцирует недоверие к процессу онлайн-оплаты и приводит к уходу потенциальных покупателей еще до старта чекаута.   Вторым критическим барьером выступает сам сценарий чекаута на этапе «Ввод данных», где отсеивается 47,96% дошедших пользователей из-за избыточного количества экранов, полей ввода и зависаний интерфейса. В результате бизнес теряет основную часть привлеченного платного трафика, получая сквозную конверсию в успешный заказ всего 3,02%. Это увеличивает стоимость привлечения платящего клиента (CAC) и напрямую снижает выручку интернет-магазина.</t>
  </si>
  <si>
    <t>гипотеза</t>
  </si>
  <si>
    <t>что меняется</t>
  </si>
  <si>
    <t>сегмент</t>
  </si>
  <si>
    <t>эффект</t>
  </si>
  <si>
    <t>метрика</t>
  </si>
  <si>
    <t>1. Экспресс-калькулятор доставки и бейджи доверия в карточке товара</t>
  </si>
  <si>
    <t>Все пользователи, просматривающие карточки товаров, в первую очередь новые клиенты и пользователи из регионов.</t>
  </si>
  <si>
    <t>Снизится фактор неопределенности и страх скрытых затрат до корзины; исчезнет барьер недоверия к списаниям.</t>
  </si>
  <si>
    <r>
      <t>В карточку товара добавляется блок предварительного расчета доставки по геолокации/городу (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>) и блок гарантий оплаты (</t>
    </r>
    <r>
      <rPr>
        <i/>
        <sz val="11"/>
        <color theme="1"/>
        <rFont val="Calibri"/>
        <family val="2"/>
        <charset val="204"/>
        <scheme val="minor"/>
      </rPr>
      <t>«Оплата при получении / Сплит»</t>
    </r>
    <r>
      <rPr>
        <sz val="11"/>
        <color theme="1"/>
        <rFont val="Calibri"/>
        <family val="2"/>
        <charset val="204"/>
        <scheme val="minor"/>
      </rPr>
      <t xml:space="preserve">, значок </t>
    </r>
    <r>
      <rPr>
        <i/>
        <sz val="11"/>
        <color theme="1"/>
        <rFont val="Calibri"/>
        <family val="2"/>
        <charset val="204"/>
        <scheme val="minor"/>
      </rPr>
      <t>«Безопасный платеж»</t>
    </r>
    <r>
      <rPr>
        <sz val="11"/>
        <color theme="1"/>
        <rFont val="Calibri"/>
        <family val="2"/>
        <charset val="204"/>
        <scheme val="minor"/>
      </rPr>
      <t>).</t>
    </r>
  </si>
  <si>
    <t>Конверсия этапа «Просмотр карточки -&gt; Добавление в корзину» вырастет с текущих 18,40% до 21,5%; сократится количество жалоб в поддержку на скрытую доставку.</t>
  </si>
  <si>
    <t>2. Прозрачный расчет итоговой суммы на первом шаге чекаута</t>
  </si>
  <si>
    <t>Пользователи, перешедшие к оформлению заказа, сталкивающиеся с расхождением цен.</t>
  </si>
  <si>
    <t>Устраняется негатив из-за внезапного удорожания корзины на следующих шагах («Цена изменилась после корзины»).</t>
  </si>
  <si>
    <r>
      <t>В корзине и на первом шаге оформления закрепляется блок с детализацией стоимости (</t>
    </r>
    <r>
      <rPr>
        <i/>
        <sz val="11"/>
        <color theme="1"/>
        <rFont val="Calibri"/>
        <family val="2"/>
        <charset val="204"/>
        <scheme val="minor"/>
      </rPr>
      <t>Товары + Доставка − Скидка = Итого</t>
    </r>
    <r>
      <rPr>
        <sz val="11"/>
        <color theme="1"/>
        <rFont val="Calibri"/>
        <family val="2"/>
        <charset val="204"/>
        <scheme val="minor"/>
      </rPr>
      <t>), где сумма доставки видна сразу, а не после ввода адреса.</t>
    </r>
  </si>
  <si>
    <r>
      <t xml:space="preserve">Конверсия этапа «Переход к оформлению -&gt; Ввод данных» вырастет с 79,48% до 85%; снизится отток с оценками 2 по причине </t>
    </r>
    <r>
      <rPr>
        <i/>
        <sz val="11"/>
        <color theme="1"/>
        <rFont val="Calibri"/>
        <family val="2"/>
        <charset val="204"/>
        <scheme val="minor"/>
      </rPr>
      <t>price trust / delivery info</t>
    </r>
    <r>
      <rPr>
        <sz val="11"/>
        <color theme="1"/>
        <rFont val="Calibri"/>
        <family val="2"/>
        <charset val="204"/>
        <scheme val="minor"/>
      </rPr>
      <t>.</t>
    </r>
  </si>
  <si>
    <t>3. Одностраничный чекаут (One-Step Checkout) с автозаполнением</t>
  </si>
  <si>
    <t>Длинный сценарий ввода данных сокращается до одной компактной формы: выбор способа получения по клику на карте, автозаполнение адреса по подсказкам Dadata, сохранение данных без перезагрузки экрана.</t>
  </si>
  <si>
    <t>Мобильные пользователи, оформившие товары в корзине.</t>
  </si>
  <si>
    <t>Исчезнет трение от «слишком многих экранов» и полей ввода, снизится риск сброса корзины и промокодов.</t>
  </si>
  <si>
    <t>Конверсия этапа «Ввод данных -&gt; Подтверждение заказа» вырастет с 52,04% до 62%; сквозная конверсия воронки увеличится с 3,02% до 4,0%.</t>
  </si>
  <si>
    <t>№</t>
  </si>
  <si>
    <t>Impact</t>
  </si>
  <si>
    <t>Confidence</t>
  </si>
  <si>
    <t>ICE = impact*confidence*effort</t>
  </si>
  <si>
    <t>Effort</t>
  </si>
  <si>
    <t>ICE score</t>
  </si>
  <si>
    <t>Г1 получила максимальный балл, так как бьет по самому широкому горлышку воронки (отток 81,60% на карточке), подтверждена большим пулом жалоб на скрытую цену и недоверие (Confidence = 9), а ее внедрение сводится к верстке готового виджета без перестройки бэкенда заказов (Effort = 8).</t>
  </si>
  <si>
    <t xml:space="preserve">Выбранная гипотеза для проверки: Гипотеза 1 — Экспресс-калькулятор доставки и бейджи доверия на карточке товара. Быстрая реализация (Low Effort): Требуется только добавить UI-компоненты на карточку товара (расчет по IP/выбранному городу и текстово-графические плашки доверия/сплита), не затрагивая сложную логику оформления заказа. Быстрый сбор выборки: Поскольку просмотр карточки — первый шаг воронки со 100,000 просмотров, тест 50/50 наберет необходимый размер выборки для подтверждения статзначимости (p-value &lt; 0,05) за несколько дней. Максимальный рычаг: Улучшение конверсии на первом шаге даже на 2–3% транслирует поток дополнительных тысяч пользователей на все последующие шаги воронки. </t>
  </si>
  <si>
    <t>Конверсия из карточки в корзину: статистически значимый рост с 18,36% до 21%+ при p-value &lt; 0,05.</t>
  </si>
  <si>
    <t>MVP. Главная задача — минимальными трудозатратами проверить, снижает ли прозрачность условий барьер перед добавлением в корзину, без создания сложной логики точного гео-трекинга и полноценных калькуляторов.</t>
  </si>
  <si>
    <t>Прозрачность и предсказуемость: понимание реальных условий еще до перехода к оформлению — сколько будет стоить доставка в его город, когда привезут товар и есть ли безопасные/отложенные способы оплаты (без страха скрытых переплат).</t>
  </si>
  <si>
    <t>Default (Базовое): город определен автоматически по IP, отображается базовая вилка («в Москву: от 199 ₽, от 1 дня») и бейджи оплаты. Loading / Skeleton (Загрузка): аккуратная анимация/скелетон виджета при подтягивании тарифов доставки, чтобы не прыгала верстка экрана. Location Edit (Смена локации): состояние активного поиска города с выпадающим списком подсказок. Error / Fallback (Ошибка гео): если город не определился — состояние со ссылкой «Укажите город, чтобы рассчитать доставку».</t>
  </si>
  <si>
    <t>Строка предварительного расчета стоимости и срока доставки, расположенная в первом экране рядом с блоком цены. Кликабельное название города с иконкой геолокации для быстрой смены. Бейджи безопасной оплаты: значок «Оплата при получении / Долями» и статус «Безопасная сделка» над/под кнопкой «Добавить в корзину». Сама кнопка «Добавить в корзину» (как ключевой триггер целевого действия).</t>
  </si>
  <si>
    <t>Полноценный расчет доставки до точного адреса / квартиры (только базовый тариф по городу). Интеграция с картами пунктов выдачи (ПВЗ) внутри карточки. Выбор конкретной курьерской службы на этапе карточки (СДЭК, Почта, Boxberry). Сложная система персональных скидок на доставку и промокодов (это проверяется дальше по воронке).</t>
  </si>
  <si>
    <t>Карточка товара (Product Detail Page): основной экран с добавленным виджетом доставки и плашками способов оплаты. Модальное окно / шторка смены города: экран выбора населенного пункта (на случай неверного автоопределения). Информационный попап / тултип по оплате: краткое всплывающее окно с пояснением условий оплаты при получении, гарантий возврата и работы сплита.</t>
  </si>
  <si>
    <t>Данного объема достаточно, чтобы ответить на главный вопрос: является ли отсутствие информации о цене доставки и страх списания денег ключевой причиной отвала 81,60% пользователей на карточке товара. Решение закрывает основные страхи из обращений пользователей, укладывается в 2 недели разработки и позволяет изолированно замерить конверсию этапа без усложнения кодовой базы.</t>
  </si>
  <si>
    <t>Текущая карточка товара без блока доставки и гарантий оплаты (базовый сценарий).</t>
  </si>
  <si>
    <t>Карточка товара с блоком ориентировочной доставки по городу и плашками безопасной оплаты/сплита.</t>
  </si>
  <si>
    <t>CTR кликов на смену города, глубина скролла карточки, число тикетов в поддержку по темам «доставка» и «оплата».</t>
  </si>
  <si>
    <t>50% / 50%.</t>
  </si>
  <si>
    <t>Эффект новизны (Novelty effect): Постоянные пользователи могут чаще кликать на новый виджет просто из-за изменения интерфейса. Ошибка ранней остановки (Peeking problem): Риск принять случайное колебание за реальный результат при ежедневном просмотре данных. Сезонные искажения и маркетинговые акции: Запуск промо-кампаний или праздничных распродаж во время теста может изменить поведение покупателей и чувствительность к цене доставки. Технические искажения (Sample Ratio Mismatch, SRM): Риск сбоя сплитования или неравномерной задержки загрузки страницы группы B из-за запросов к сторонним API доставки.</t>
  </si>
  <si>
    <t>100% входящих пользователей карточек товаров (десктоп и мобайл) с разделением для чистоты на подсегменты: новые vs вернувшиеся.</t>
  </si>
  <si>
    <t>Конверсия в добавление в корзину — ожидаем рост с 18,40% до 21,5% (p &lt; 0,05).</t>
  </si>
  <si>
    <t>Сквозная конверсия воронки в успешный заказ. Время загрузки страницы карточки товара (не должно вырасти более чем на 200 мс). Отток на этапе ввода данных (не должен возрасти).</t>
  </si>
  <si>
    <t>Относительный прирост  на +10% (абсолютный рост минимум на +1,8-2,0 п.п. — с 18,40% до 20,2-20,4%).</t>
  </si>
  <si>
    <t>Достижение расчетного размера выборки (не менее 14 дней для учета недельной сезонности) при подтверждении статзначимости (p-value &lt; 0,05) либо досрочная остановка, если сквозная конверсия в заказы в группе B статистически значимо падает на 3%.</t>
  </si>
  <si>
    <t>Текущая карточка товара без блока расчета доставки и бейджей безопасной оплаты (базовый флоу).</t>
  </si>
  <si>
    <t>Карточка товара с добавленным блоком ориентировочной стоимости/сроков доставки по городу и плашками безопасной оплаты / сплита.</t>
  </si>
  <si>
    <t>Все пользователи сайта и мобильного приложения, просматривающие карточки товаров (100% трафика карточек с анализом срезов: новые vs вернувшиеся, Mobile vs Desktop).</t>
  </si>
  <si>
    <t>50% на 50% со случайным равномерным сплитом по user_id / device_id.</t>
  </si>
  <si>
    <t>CTR кликов по смене города, клики по тултипу способов оплаты, средний чек (AOV), число обращений в поддержку по темам «доставка» и «оплата».</t>
  </si>
  <si>
    <t>Эффект новизны (Novelty effect), подглядывание за результатом до конца теста (Peeking problem), маркетинговые акции/сезонность, технический дисбаланс сплита (Sample Ratio Mismatch, SRM) из-за задержек загрузки виджета.</t>
  </si>
  <si>
    <t>Конверсия из просмотра карточки в добавление в корзину  — текущий базовый уровень 18,40%.</t>
  </si>
  <si>
    <t>1) Сквозная конверсия в оплаченный заказ; 2) Время загрузки карточки товара (LCP / скорость отклика); 3) Доля отказов (Bounce Rate) на карточке.</t>
  </si>
  <si>
    <t>Статистически значимый p-value &lt; 0,05 относительный прирост минимум на +10% (абсолютный рост от +1,8-2,0 п.п., то есть до 20,2-20,4%) при мощности 80% и отсутствии просадки guardrail metrics.</t>
  </si>
  <si>
    <t>Достижение расчетного размера выборки и срока не менее 14 дней (для учета недельной сезонности) при p &lt; 0,05. Правило досрочной остановки: статистически значимое падение сквозной оплаты в варианте B более чем на 3%.</t>
  </si>
  <si>
    <t>Карточка товара: просмотр базовой информации</t>
  </si>
  <si>
    <t>Карточка товара: блок ориентировочной доставки</t>
  </si>
  <si>
    <t>Модальное окно / шторка: проверка и смена города</t>
  </si>
  <si>
    <t>Карточка товара: блок способов и безопасности оплаты</t>
  </si>
  <si>
    <t>Информационная подсказка (тултип/шторка) по оплате</t>
  </si>
  <si>
    <t>Клик по кнопке «Добавить в корзину»</t>
  </si>
  <si>
    <t>Снекбар / модалка перехода в корзину с сохраненными условиями</t>
  </si>
  <si>
    <t>Изучить товар, цену и убедиться в наличии</t>
  </si>
  <si>
    <t>Узнать сроки и стоимость доставки до добавления в корзину</t>
  </si>
  <si>
    <t>Проверить автоопределение или выбрать свой город</t>
  </si>
  <si>
    <t>Узнать доступные варианты оплаты (сплит, оплата при получении)</t>
  </si>
  <si>
    <t>Быстро прочитать правила оплаты при получении и возврата</t>
  </si>
  <si>
    <t>Зафиксировать товар в заказе с полным пониманием условий</t>
  </si>
  <si>
    <t>Убедиться, что выбранные условия доставки и оплаты учтены</t>
  </si>
  <si>
    <t>«Есть ли нужный товар в наличии и какая цена?»</t>
  </si>
  <si>
    <t>«Сколько стоит доставка в мой город и успеет ли заказ в срок?»</t>
  </si>
  <si>
    <t>«Это точный расчет для моего города или шаблонная цена?»</t>
  </si>
  <si>
    <t>«Могу ли я доверять сервису и заплатить только после проверки?»</t>
  </si>
  <si>
    <t>«Точно ли не спишут деньги сразу и легко ли вернуть товар?»</t>
  </si>
  <si>
    <t>«Все условия понятны, можно переходить к оформлению?»</t>
  </si>
  <si>
    <t>«Сохранились ли обещанная цена и условия в корзине?»</t>
  </si>
  <si>
    <t>Риск быстрого ухода из-за непонимания базового предложения</t>
  </si>
  <si>
    <t>Непонимание условий доставки, страх скрытых наценок на чекауте</t>
  </si>
  <si>
    <t>Недоверие к автоматическому расчету и ложным обещаниям</t>
  </si>
  <si>
    <t>Недоверие к онлайн-платежам, страх списания средств без гарантий</t>
  </si>
  <si>
    <t>Страх сложного сценария списания и проблем с возвратом денег</t>
  </si>
  <si>
    <t>Барьер сомнений и отвал на первом этапе воронки из-за неизвестности</t>
  </si>
  <si>
    <t>Страх внезапного изменения итоговой суммы после корзины</t>
  </si>
  <si>
    <t>Шаг</t>
  </si>
  <si>
    <t>Цель</t>
  </si>
  <si>
    <t>Вопрос</t>
  </si>
  <si>
    <t>Риск</t>
  </si>
  <si>
    <t>Переход на карточку товара</t>
  </si>
  <si>
    <t>Просмотр блока доставки рядом с ценой</t>
  </si>
  <si>
    <t>Проверка или смена города (интерактивное состояние)</t>
  </si>
  <si>
    <t>Ознакомление с бейджами безопасной оплаты</t>
  </si>
  <si>
    <t>Открытие короткой подсказки (тултипа/шторки) по оплате при получении</t>
  </si>
  <si>
    <t>Нажатие кнопки «Добавить в корзину» (целевое действие)</t>
  </si>
  <si>
    <t>изучить товар и понять его финальную доступность.</t>
  </si>
  <si>
    <t>«Есть ли товар в наличии и сколько он стоит?»</t>
  </si>
  <si>
    <t>риск ухода из-за непонимания базового предложения.</t>
  </si>
  <si>
    <t>оценить сроки и стоимость доставки до добавления в корзину.</t>
  </si>
  <si>
    <t>«Сколько будет стоить доставка в мой город и успеет ли заказ вовремя?»</t>
  </si>
  <si>
    <t>непонимание условий доставки, страх скрытых наценок на чекауте.</t>
  </si>
  <si>
    <t>убедиться, что система правильно определила геолокацию, или выбрать свой город вручную.</t>
  </si>
  <si>
    <t>«Это расчет именно для Казани или шаблонная цена для Москвы?»</t>
  </si>
  <si>
    <t>недоверие к автоматическому расчету и ложным обещаниям.</t>
  </si>
  <si>
    <t>узнать доступные способы расчета (оплата при получении, сплит) и гарантии возврата.</t>
  </si>
  <si>
    <t>«Могу ли я доверять оплате и можно ли заплатить после осмотра товара?»</t>
  </si>
  <si>
    <t>недоверие к онлайн-оплате картой, страх потери денег.</t>
  </si>
  <si>
    <t>получить быстрое подтверждение условий без ухода со страницы.</t>
  </si>
  <si>
    <t>«Точно ли с меня не спишут деньги прямо сейчас?»</t>
  </si>
  <si>
    <t>страх сложного или непрозрачного сценария списания средств.</t>
  </si>
  <si>
    <t>положить товар в корзину с полной уверенностью в прозрачности заказа.</t>
  </si>
  <si>
    <t>«Все условия понятны, переходим к покупке?»</t>
  </si>
  <si>
    <t>отказ от покупки на первом этапе воронки из-за неопределенности.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</si>
</sst>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7"/>
      <color rgb="FF000000"/>
      <name val="Arial"/>
    </font>
    <font>
      <sz val="11"/>
      <color theme="1"/>
      <name val="Arial"/>
    </font>
    <font>
      <sz val="12"/>
      <color rgb="FF000000"/>
      <name val="Arial"/>
    </font>
    <font>
      <b/>
      <sz val="15"/>
      <color rgb="FF188038"/>
      <name val="Arial"/>
    </font>
    <font>
      <sz val="12"/>
      <color rgb="FFF3F3F3"/>
      <name val="Arial"/>
    </font>
    <font>
      <sz val="11"/>
      <color rgb="FFF3F3F3"/>
      <name val="Arial"/>
    </font>
    <font>
      <b/>
      <sz val="11"/>
      <color theme="1"/>
      <name val="Arial"/>
    </font>
    <font>
      <sz val="11"/>
      <color rgb="FFCC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8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top"/>
    </xf>
    <xf numFmtId="0" fontId="5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0" fillId="0" borderId="1" xfId="0" applyFont="1" applyBorder="1" applyAlignment="1">
      <alignment horizontal="center" vertical="top" wrapText="1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3" fillId="0" borderId="0" xfId="0" applyFont="1" applyAlignment="1"/>
    <xf numFmtId="10" fontId="11" fillId="0" borderId="0" xfId="1" applyNumberFormat="1" applyFont="1" applyAlignment="1">
      <alignment vertical="center"/>
    </xf>
    <xf numFmtId="10" fontId="5" fillId="0" borderId="0" xfId="0" applyNumberFormat="1" applyFont="1"/>
    <xf numFmtId="0" fontId="3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0" fillId="0" borderId="0" xfId="0" applyFont="1" applyAlignment="1">
      <alignment vertical="top" wrapText="1"/>
    </xf>
    <xf numFmtId="0" fontId="15" fillId="0" borderId="0" xfId="0" applyFont="1" applyAlignment="1"/>
    <xf numFmtId="0" fontId="2" fillId="0" borderId="0" xfId="0" applyFont="1" applyAlignment="1"/>
    <xf numFmtId="0" fontId="15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/>
    <xf numFmtId="0" fontId="0" fillId="0" borderId="2" xfId="0" applyFont="1" applyBorder="1" applyAlignment="1"/>
    <xf numFmtId="0" fontId="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6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9" fillId="0" borderId="0" xfId="0" applyFont="1" applyAlignment="1"/>
    <xf numFmtId="0" fontId="19" fillId="0" borderId="0" xfId="0" applyFont="1"/>
    <xf numFmtId="0" fontId="1" fillId="0" borderId="2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18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0" xfId="0" applyFont="1" applyAlignment="1"/>
    <xf numFmtId="0" fontId="20" fillId="0" borderId="0" xfId="0" applyFont="1" applyAlignment="1">
      <alignment wrapText="1"/>
    </xf>
  </cellXfs>
  <cellStyles count="2">
    <cellStyle name="Обычный" xfId="0" builtinId="0"/>
    <cellStyle name="Процентный" xfId="1" builtinId="5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Metric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uppor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Review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1">
  <autoFilter ref="A1:E81" xr:uid="{00000000-000C-0000-FFFF-FFFF00000000}"/>
  <tableColumns count="5">
    <tableColumn id="1" xr3:uid="{00000000-0010-0000-0000-000001000000}" name="date"/>
    <tableColumn id="2" xr3:uid="{00000000-0010-0000-0000-000002000000}" name="stage"/>
    <tableColumn id="3" xr3:uid="{00000000-0010-0000-0000-000003000000}" name="users_in"/>
    <tableColumn id="4" xr3:uid="{00000000-0010-0000-0000-000004000000}" name="users_out"/>
    <tableColumn id="5" xr3:uid="{00000000-0010-0000-0000-000005000000}" name="conversion">
      <calculatedColumnFormula>(Table_1[[#This Row],[users_out]]/Table_1[[#This Row],[users_in]])*100%</calculatedColumnFormula>
    </tableColumn>
  </tableColumns>
  <tableStyleInfo name="Metr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31">
  <autoFilter ref="A1:E31" xr:uid="{00000000-000C-0000-FFFF-FFFF01000000}"/>
  <tableColumns count="5">
    <tableColumn id="1" xr3:uid="{00000000-0010-0000-0100-000001000000}" name="datetime"/>
    <tableColumn id="2" xr3:uid="{00000000-0010-0000-0100-000002000000}" name="channel"/>
    <tableColumn id="3" xr3:uid="{00000000-0010-0000-0100-000003000000}" name="message"/>
    <tableColumn id="4" xr3:uid="{00000000-0010-0000-0100-000004000000}" name="topic"/>
    <tableColumn id="5" xr3:uid="{00000000-0010-0000-0100-000005000000}" name="sentiment"/>
  </tableColumns>
  <tableStyleInfo name="Suppo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31">
  <autoFilter ref="A1:D31" xr:uid="{00000000-000C-0000-FFFF-FFFF02000000}"/>
  <sortState xmlns:xlrd2="http://schemas.microsoft.com/office/spreadsheetml/2017/richdata2" ref="A2:D31">
    <sortCondition ref="B1:B31"/>
  </sortState>
  <tableColumns count="4">
    <tableColumn id="1" xr3:uid="{00000000-0010-0000-0200-000001000000}" name="date"/>
    <tableColumn id="2" xr3:uid="{00000000-0010-0000-0200-000002000000}" name="rating"/>
    <tableColumn id="3" xr3:uid="{00000000-0010-0000-0200-000003000000}" name="review_text"/>
    <tableColumn id="4" xr3:uid="{00000000-0010-0000-0200-000004000000}" name="theme"/>
  </tableColumns>
  <tableStyleInfo name="Review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/>
  </sheetViews>
  <sheetFormatPr defaultColWidth="14.44140625" defaultRowHeight="15" customHeight="1" x14ac:dyDescent="0.3"/>
  <cols>
    <col min="1" max="1" width="72" customWidth="1"/>
    <col min="2" max="6" width="14.44140625" customWidth="1"/>
  </cols>
  <sheetData>
    <row r="1" spans="1:26" ht="21.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2" x14ac:dyDescent="0.3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2" x14ac:dyDescent="0.3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2" x14ac:dyDescent="0.3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4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4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 t="s">
        <v>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5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5" t="s">
        <v>29</v>
      </c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30</v>
      </c>
      <c r="B43" s="6" t="s">
        <v>31</v>
      </c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32</v>
      </c>
      <c r="B44" s="6" t="s">
        <v>33</v>
      </c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34</v>
      </c>
      <c r="B45" s="6" t="s">
        <v>35</v>
      </c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36</v>
      </c>
      <c r="B46" s="6" t="s">
        <v>37</v>
      </c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38</v>
      </c>
      <c r="B47" s="6" t="s">
        <v>39</v>
      </c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40</v>
      </c>
      <c r="B48" s="6" t="s">
        <v>41</v>
      </c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42</v>
      </c>
      <c r="B49" s="6" t="s">
        <v>43</v>
      </c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44</v>
      </c>
      <c r="B50" s="6" t="s">
        <v>45</v>
      </c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46</v>
      </c>
      <c r="B51" s="6" t="s">
        <v>47</v>
      </c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6" t="s">
        <v>48</v>
      </c>
      <c r="B52" s="6" t="s">
        <v>49</v>
      </c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6" t="s">
        <v>50</v>
      </c>
      <c r="B53" s="6" t="s">
        <v>51</v>
      </c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6" t="s">
        <v>52</v>
      </c>
      <c r="B54" s="6" t="s">
        <v>53</v>
      </c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pane ySplit="1" topLeftCell="A2" activePane="bottomLeft" state="frozen"/>
      <selection pane="bottomLeft" activeCell="G5" sqref="G5:M12"/>
    </sheetView>
  </sheetViews>
  <sheetFormatPr defaultColWidth="14.44140625" defaultRowHeight="15" customHeight="1" x14ac:dyDescent="0.3"/>
  <cols>
    <col min="1" max="1" width="17.44140625" customWidth="1"/>
    <col min="2" max="2" width="30.44140625" customWidth="1"/>
    <col min="3" max="3" width="17.88671875" customWidth="1"/>
    <col min="4" max="4" width="19.33203125" customWidth="1"/>
    <col min="5" max="5" width="24.33203125" customWidth="1"/>
    <col min="6" max="6" width="8.6640625" customWidth="1"/>
    <col min="7" max="7" width="19.33203125" customWidth="1"/>
    <col min="8" max="26" width="8.6640625" customWidth="1"/>
  </cols>
  <sheetData>
    <row r="1" spans="1:26" ht="22.5" customHeight="1" x14ac:dyDescent="0.3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59</v>
      </c>
      <c r="B2" s="8" t="s">
        <v>60</v>
      </c>
      <c r="C2" s="8">
        <v>100000</v>
      </c>
      <c r="D2" s="8">
        <v>18400</v>
      </c>
      <c r="E2" s="17">
        <f>(Table_1[[#This Row],[users_out]]/Table_1[[#This Row],[users_in]])*100%</f>
        <v>0.184</v>
      </c>
      <c r="F2" s="2"/>
      <c r="G2" s="9" t="s">
        <v>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59</v>
      </c>
      <c r="B3" s="8" t="s">
        <v>62</v>
      </c>
      <c r="C3" s="8">
        <v>18400</v>
      </c>
      <c r="D3" s="8">
        <v>11261</v>
      </c>
      <c r="E3" s="17">
        <f>(Table_1[[#This Row],[users_out]]/Table_1[[#This Row],[users_in]])*100%</f>
        <v>0.61201086956521744</v>
      </c>
      <c r="F3" s="2"/>
      <c r="G3" s="2" t="s">
        <v>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59</v>
      </c>
      <c r="B4" s="8" t="s">
        <v>64</v>
      </c>
      <c r="C4" s="8">
        <v>11261</v>
      </c>
      <c r="D4" s="8">
        <v>8950</v>
      </c>
      <c r="E4" s="17">
        <f>(Table_1[[#This Row],[users_out]]/Table_1[[#This Row],[users_in]])*100%</f>
        <v>0.7947784388597815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59</v>
      </c>
      <c r="B5" s="8" t="s">
        <v>65</v>
      </c>
      <c r="C5" s="8">
        <v>8950</v>
      </c>
      <c r="D5" s="8">
        <v>4658</v>
      </c>
      <c r="E5" s="17">
        <f>(Table_1[[#This Row],[users_out]]/Table_1[[#This Row],[users_in]])*100%</f>
        <v>0.52044692737430165</v>
      </c>
      <c r="F5" s="2"/>
      <c r="G5" s="29" t="s">
        <v>322</v>
      </c>
      <c r="H5" s="29"/>
      <c r="I5" s="29"/>
      <c r="J5" s="29"/>
      <c r="K5" s="29"/>
      <c r="L5" s="29"/>
      <c r="M5" s="2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59</v>
      </c>
      <c r="B6" s="8" t="s">
        <v>66</v>
      </c>
      <c r="C6" s="8">
        <v>4658</v>
      </c>
      <c r="D6" s="8">
        <v>3016</v>
      </c>
      <c r="E6" s="17">
        <f>(Table_1[[#This Row],[users_out]]/Table_1[[#This Row],[users_in]])*100%</f>
        <v>0.64748819235723487</v>
      </c>
      <c r="F6" s="2"/>
      <c r="G6" s="29"/>
      <c r="H6" s="29"/>
      <c r="I6" s="29"/>
      <c r="J6" s="29"/>
      <c r="K6" s="29"/>
      <c r="L6" s="29"/>
      <c r="M6" s="2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67</v>
      </c>
      <c r="B7" s="8" t="s">
        <v>60</v>
      </c>
      <c r="C7" s="8">
        <v>104200</v>
      </c>
      <c r="D7" s="8">
        <v>19055</v>
      </c>
      <c r="E7" s="17">
        <f>(Table_1[[#This Row],[users_out]]/Table_1[[#This Row],[users_in]])*100%</f>
        <v>0.18286948176583492</v>
      </c>
      <c r="F7" s="2"/>
      <c r="G7" s="29"/>
      <c r="H7" s="29"/>
      <c r="I7" s="29"/>
      <c r="J7" s="29"/>
      <c r="K7" s="29"/>
      <c r="L7" s="29"/>
      <c r="M7" s="2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67</v>
      </c>
      <c r="B8" s="8" t="s">
        <v>62</v>
      </c>
      <c r="C8" s="8">
        <v>19055</v>
      </c>
      <c r="D8" s="8">
        <v>11433</v>
      </c>
      <c r="E8" s="17">
        <f>(Table_1[[#This Row],[users_out]]/Table_1[[#This Row],[users_in]])*100%</f>
        <v>0.6</v>
      </c>
      <c r="F8" s="2"/>
      <c r="G8" s="29"/>
      <c r="H8" s="29"/>
      <c r="I8" s="29"/>
      <c r="J8" s="29"/>
      <c r="K8" s="29"/>
      <c r="L8" s="29"/>
      <c r="M8" s="2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67</v>
      </c>
      <c r="B9" s="8" t="s">
        <v>64</v>
      </c>
      <c r="C9" s="8">
        <v>11433</v>
      </c>
      <c r="D9" s="8">
        <v>9041</v>
      </c>
      <c r="E9" s="17">
        <f>(Table_1[[#This Row],[users_out]]/Table_1[[#This Row],[users_in]])*100%</f>
        <v>0.79078107233447037</v>
      </c>
      <c r="F9" s="2"/>
      <c r="G9" s="29"/>
      <c r="H9" s="29"/>
      <c r="I9" s="29"/>
      <c r="J9" s="29"/>
      <c r="K9" s="29"/>
      <c r="L9" s="29"/>
      <c r="M9" s="2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67</v>
      </c>
      <c r="B10" s="8" t="s">
        <v>65</v>
      </c>
      <c r="C10" s="8">
        <v>9041</v>
      </c>
      <c r="D10" s="8">
        <v>4602</v>
      </c>
      <c r="E10" s="17">
        <f>(Table_1[[#This Row],[users_out]]/Table_1[[#This Row],[users_in]])*100%</f>
        <v>0.50901448954761641</v>
      </c>
      <c r="F10" s="2"/>
      <c r="G10" s="29"/>
      <c r="H10" s="29"/>
      <c r="I10" s="29"/>
      <c r="J10" s="29"/>
      <c r="K10" s="29"/>
      <c r="L10" s="29"/>
      <c r="M10" s="2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67</v>
      </c>
      <c r="B11" s="8" t="s">
        <v>66</v>
      </c>
      <c r="C11" s="8">
        <v>4602</v>
      </c>
      <c r="D11" s="8">
        <v>2951</v>
      </c>
      <c r="E11" s="17">
        <f>(Table_1[[#This Row],[users_out]]/Table_1[[#This Row],[users_in]])*100%</f>
        <v>0.64124293785310738</v>
      </c>
      <c r="F11" s="2"/>
      <c r="G11" s="29"/>
      <c r="H11" s="29"/>
      <c r="I11" s="29"/>
      <c r="J11" s="29"/>
      <c r="K11" s="29"/>
      <c r="L11" s="29"/>
      <c r="M11" s="2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68</v>
      </c>
      <c r="B12" s="8" t="s">
        <v>60</v>
      </c>
      <c r="C12" s="8">
        <v>101500</v>
      </c>
      <c r="D12" s="8">
        <v>18610</v>
      </c>
      <c r="E12" s="17">
        <f>(Table_1[[#This Row],[users_out]]/Table_1[[#This Row],[users_in]])*100%</f>
        <v>0.18334975369458129</v>
      </c>
      <c r="F12" s="2"/>
      <c r="G12" s="29"/>
      <c r="H12" s="29"/>
      <c r="I12" s="29"/>
      <c r="J12" s="29"/>
      <c r="K12" s="29"/>
      <c r="L12" s="29"/>
      <c r="M12" s="2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68</v>
      </c>
      <c r="B13" s="8" t="s">
        <v>62</v>
      </c>
      <c r="C13" s="8">
        <v>18610</v>
      </c>
      <c r="D13" s="8">
        <v>10973</v>
      </c>
      <c r="E13" s="17">
        <f>(Table_1[[#This Row],[users_out]]/Table_1[[#This Row],[users_in]])*100%</f>
        <v>0.58962923159591618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68</v>
      </c>
      <c r="B14" s="8" t="s">
        <v>64</v>
      </c>
      <c r="C14" s="8">
        <v>10973</v>
      </c>
      <c r="D14" s="8">
        <v>8688</v>
      </c>
      <c r="E14" s="17">
        <f>(Table_1[[#This Row],[users_out]]/Table_1[[#This Row],[users_in]])*100%</f>
        <v>0.79176159664631363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68</v>
      </c>
      <c r="B15" s="8" t="s">
        <v>65</v>
      </c>
      <c r="C15" s="8">
        <v>8688</v>
      </c>
      <c r="D15" s="8">
        <v>4379</v>
      </c>
      <c r="E15" s="17">
        <f>(Table_1[[#This Row],[users_out]]/Table_1[[#This Row],[users_in]])*100%</f>
        <v>0.5040285451197053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68</v>
      </c>
      <c r="B16" s="8" t="s">
        <v>66</v>
      </c>
      <c r="C16" s="8">
        <v>4379</v>
      </c>
      <c r="D16" s="8">
        <v>2895</v>
      </c>
      <c r="E16" s="17">
        <f>(Table_1[[#This Row],[users_out]]/Table_1[[#This Row],[users_in]])*100%</f>
        <v>0.66110984242977844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69</v>
      </c>
      <c r="B17" s="8" t="s">
        <v>60</v>
      </c>
      <c r="C17" s="8">
        <v>103800</v>
      </c>
      <c r="D17" s="8">
        <v>18977</v>
      </c>
      <c r="E17" s="17">
        <f>(Table_1[[#This Row],[users_out]]/Table_1[[#This Row],[users_in]])*100%</f>
        <v>0.18282273603082852</v>
      </c>
      <c r="F17" s="2"/>
      <c r="G17" s="1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69</v>
      </c>
      <c r="B18" s="8" t="s">
        <v>62</v>
      </c>
      <c r="C18" s="8">
        <v>18977</v>
      </c>
      <c r="D18" s="8">
        <v>11102</v>
      </c>
      <c r="E18" s="17">
        <f>(Table_1[[#This Row],[users_out]]/Table_1[[#This Row],[users_in]])*100%</f>
        <v>0.58502397639247505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69</v>
      </c>
      <c r="B19" s="8" t="s">
        <v>64</v>
      </c>
      <c r="C19" s="8">
        <v>11102</v>
      </c>
      <c r="D19" s="8">
        <v>8755</v>
      </c>
      <c r="E19" s="17">
        <f>(Table_1[[#This Row],[users_out]]/Table_1[[#This Row],[users_in]])*100%</f>
        <v>0.78859664925238693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69</v>
      </c>
      <c r="B20" s="8" t="s">
        <v>65</v>
      </c>
      <c r="C20" s="8">
        <v>8755</v>
      </c>
      <c r="D20" s="8">
        <v>4420</v>
      </c>
      <c r="E20" s="17">
        <f>(Table_1[[#This Row],[users_out]]/Table_1[[#This Row],[users_in]])*100%</f>
        <v>0.50485436893203883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69</v>
      </c>
      <c r="B21" s="8" t="s">
        <v>66</v>
      </c>
      <c r="C21" s="8">
        <v>4420</v>
      </c>
      <c r="D21" s="8">
        <v>2866</v>
      </c>
      <c r="E21" s="17">
        <f>(Table_1[[#This Row],[users_out]]/Table_1[[#This Row],[users_in]])*100%</f>
        <v>0.64841628959276021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70</v>
      </c>
      <c r="B22" s="8" t="s">
        <v>60</v>
      </c>
      <c r="C22" s="8">
        <v>95899</v>
      </c>
      <c r="D22" s="8">
        <v>17906</v>
      </c>
      <c r="E22" s="17">
        <f>(Table_1[[#This Row],[users_out]]/Table_1[[#This Row],[users_in]])*100%</f>
        <v>0.18671727546689745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70</v>
      </c>
      <c r="B23" s="8" t="s">
        <v>62</v>
      </c>
      <c r="C23" s="8">
        <v>17906</v>
      </c>
      <c r="D23" s="8">
        <v>10507</v>
      </c>
      <c r="E23" s="17">
        <f>(Table_1[[#This Row],[users_out]]/Table_1[[#This Row],[users_in]])*100%</f>
        <v>0.58678655199374508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70</v>
      </c>
      <c r="B24" s="8" t="s">
        <v>64</v>
      </c>
      <c r="C24" s="8">
        <v>10507</v>
      </c>
      <c r="D24" s="8">
        <v>8173</v>
      </c>
      <c r="E24" s="17">
        <f>(Table_1[[#This Row],[users_out]]/Table_1[[#This Row],[users_in]])*100%</f>
        <v>0.77786237746264397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70</v>
      </c>
      <c r="B25" s="8" t="s">
        <v>65</v>
      </c>
      <c r="C25" s="8">
        <v>8173</v>
      </c>
      <c r="D25" s="8">
        <v>4206</v>
      </c>
      <c r="E25" s="17">
        <f>(Table_1[[#This Row],[users_out]]/Table_1[[#This Row],[users_in]])*100%</f>
        <v>0.51462131408295608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70</v>
      </c>
      <c r="B26" s="8" t="s">
        <v>66</v>
      </c>
      <c r="C26" s="8">
        <v>4206</v>
      </c>
      <c r="D26" s="8">
        <v>2806</v>
      </c>
      <c r="E26" s="17">
        <f>(Table_1[[#This Row],[users_out]]/Table_1[[#This Row],[users_in]])*100%</f>
        <v>0.66714217784117924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71</v>
      </c>
      <c r="B27" s="8" t="s">
        <v>60</v>
      </c>
      <c r="C27" s="8">
        <v>97111</v>
      </c>
      <c r="D27" s="8">
        <v>17419</v>
      </c>
      <c r="E27" s="17">
        <f>(Table_1[[#This Row],[users_out]]/Table_1[[#This Row],[users_in]])*100%</f>
        <v>0.17937205877809928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71</v>
      </c>
      <c r="B28" s="8" t="s">
        <v>62</v>
      </c>
      <c r="C28" s="8">
        <v>17419</v>
      </c>
      <c r="D28" s="8">
        <v>10549</v>
      </c>
      <c r="E28" s="17">
        <f>(Table_1[[#This Row],[users_out]]/Table_1[[#This Row],[users_in]])*100%</f>
        <v>0.60560307709971872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71</v>
      </c>
      <c r="B29" s="8" t="s">
        <v>64</v>
      </c>
      <c r="C29" s="8">
        <v>10549</v>
      </c>
      <c r="D29" s="8">
        <v>8303</v>
      </c>
      <c r="E29" s="17">
        <f>(Table_1[[#This Row],[users_out]]/Table_1[[#This Row],[users_in]])*100%</f>
        <v>0.78708882358517396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71</v>
      </c>
      <c r="B30" s="8" t="s">
        <v>65</v>
      </c>
      <c r="C30" s="8">
        <v>8303</v>
      </c>
      <c r="D30" s="8">
        <v>4327</v>
      </c>
      <c r="E30" s="17">
        <f>(Table_1[[#This Row],[users_out]]/Table_1[[#This Row],[users_in]])*100%</f>
        <v>0.52113693845597975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71</v>
      </c>
      <c r="B31" s="8" t="s">
        <v>66</v>
      </c>
      <c r="C31" s="8">
        <v>4327</v>
      </c>
      <c r="D31" s="8">
        <v>2693</v>
      </c>
      <c r="E31" s="17">
        <f>(Table_1[[#This Row],[users_out]]/Table_1[[#This Row],[users_in]])*100%</f>
        <v>0.62237115784608277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8" t="s">
        <v>72</v>
      </c>
      <c r="B32" s="8" t="s">
        <v>60</v>
      </c>
      <c r="C32" s="8">
        <v>100115</v>
      </c>
      <c r="D32" s="8">
        <v>18095</v>
      </c>
      <c r="E32" s="17">
        <f>(Table_1[[#This Row],[users_out]]/Table_1[[#This Row],[users_in]])*100%</f>
        <v>0.18074214653148879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 t="s">
        <v>72</v>
      </c>
      <c r="B33" s="8" t="s">
        <v>62</v>
      </c>
      <c r="C33" s="8">
        <v>18095</v>
      </c>
      <c r="D33" s="8">
        <v>10438</v>
      </c>
      <c r="E33" s="17">
        <f>(Table_1[[#This Row],[users_out]]/Table_1[[#This Row],[users_in]])*100%</f>
        <v>0.57684443216358106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8" t="s">
        <v>72</v>
      </c>
      <c r="B34" s="8" t="s">
        <v>64</v>
      </c>
      <c r="C34" s="8">
        <v>10438</v>
      </c>
      <c r="D34" s="8">
        <v>8168</v>
      </c>
      <c r="E34" s="17">
        <f>(Table_1[[#This Row],[users_out]]/Table_1[[#This Row],[users_in]])*100%</f>
        <v>0.78252538800536497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8" t="s">
        <v>72</v>
      </c>
      <c r="B35" s="8" t="s">
        <v>65</v>
      </c>
      <c r="C35" s="8">
        <v>8168</v>
      </c>
      <c r="D35" s="8">
        <v>4281</v>
      </c>
      <c r="E35" s="17">
        <f>(Table_1[[#This Row],[users_out]]/Table_1[[#This Row],[users_in]])*100%</f>
        <v>0.5241185112634672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8" t="s">
        <v>72</v>
      </c>
      <c r="B36" s="8" t="s">
        <v>66</v>
      </c>
      <c r="C36" s="8">
        <v>4281</v>
      </c>
      <c r="D36" s="8">
        <v>2770</v>
      </c>
      <c r="E36" s="17">
        <f>(Table_1[[#This Row],[users_out]]/Table_1[[#This Row],[users_in]])*100%</f>
        <v>0.64704508292455032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8" t="s">
        <v>73</v>
      </c>
      <c r="B37" s="8" t="s">
        <v>60</v>
      </c>
      <c r="C37" s="8">
        <v>101248</v>
      </c>
      <c r="D37" s="8">
        <v>18709</v>
      </c>
      <c r="E37" s="17">
        <f>(Table_1[[#This Row],[users_out]]/Table_1[[#This Row],[users_in]])*100%</f>
        <v>0.184783896965866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8" t="s">
        <v>73</v>
      </c>
      <c r="B38" s="8" t="s">
        <v>62</v>
      </c>
      <c r="C38" s="8">
        <v>18709</v>
      </c>
      <c r="D38" s="8">
        <v>11564</v>
      </c>
      <c r="E38" s="17">
        <f>(Table_1[[#This Row],[users_out]]/Table_1[[#This Row],[users_in]])*100%</f>
        <v>0.61809824148805392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8" t="s">
        <v>73</v>
      </c>
      <c r="B39" s="8" t="s">
        <v>64</v>
      </c>
      <c r="C39" s="8">
        <v>11564</v>
      </c>
      <c r="D39" s="8">
        <v>9224</v>
      </c>
      <c r="E39" s="17">
        <f>(Table_1[[#This Row],[users_out]]/Table_1[[#This Row],[users_in]])*100%</f>
        <v>0.79764787270840543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8" t="s">
        <v>73</v>
      </c>
      <c r="B40" s="8" t="s">
        <v>65</v>
      </c>
      <c r="C40" s="8">
        <v>9224</v>
      </c>
      <c r="D40" s="8">
        <v>4779</v>
      </c>
      <c r="E40" s="17">
        <f>(Table_1[[#This Row],[users_out]]/Table_1[[#This Row],[users_in]])*100%</f>
        <v>0.51810494362532522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8" t="s">
        <v>73</v>
      </c>
      <c r="B41" s="8" t="s">
        <v>66</v>
      </c>
      <c r="C41" s="8">
        <v>4779</v>
      </c>
      <c r="D41" s="8">
        <v>3024</v>
      </c>
      <c r="E41" s="17">
        <f>(Table_1[[#This Row],[users_out]]/Table_1[[#This Row],[users_in]])*100%</f>
        <v>0.63276836158192096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8" t="s">
        <v>74</v>
      </c>
      <c r="B42" s="8" t="s">
        <v>60</v>
      </c>
      <c r="C42" s="8">
        <v>102377</v>
      </c>
      <c r="D42" s="8">
        <v>19080</v>
      </c>
      <c r="E42" s="17">
        <f>(Table_1[[#This Row],[users_out]]/Table_1[[#This Row],[users_in]])*100%</f>
        <v>0.18636998544594977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8" t="s">
        <v>74</v>
      </c>
      <c r="B43" s="8" t="s">
        <v>62</v>
      </c>
      <c r="C43" s="8">
        <v>19080</v>
      </c>
      <c r="D43" s="8">
        <v>11773</v>
      </c>
      <c r="E43" s="17">
        <f>(Table_1[[#This Row],[users_out]]/Table_1[[#This Row],[users_in]])*100%</f>
        <v>0.61703354297693924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8" t="s">
        <v>74</v>
      </c>
      <c r="B44" s="8" t="s">
        <v>64</v>
      </c>
      <c r="C44" s="8">
        <v>11773</v>
      </c>
      <c r="D44" s="8">
        <v>9269</v>
      </c>
      <c r="E44" s="17">
        <f>(Table_1[[#This Row],[users_out]]/Table_1[[#This Row],[users_in]])*100%</f>
        <v>0.78730994648772612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8" t="s">
        <v>74</v>
      </c>
      <c r="B45" s="8" t="s">
        <v>65</v>
      </c>
      <c r="C45" s="8">
        <v>9269</v>
      </c>
      <c r="D45" s="8">
        <v>4880</v>
      </c>
      <c r="E45" s="17">
        <f>(Table_1[[#This Row],[users_out]]/Table_1[[#This Row],[users_in]])*100%</f>
        <v>0.52648613658431331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8" t="s">
        <v>74</v>
      </c>
      <c r="B46" s="8" t="s">
        <v>66</v>
      </c>
      <c r="C46" s="8">
        <v>4880</v>
      </c>
      <c r="D46" s="8">
        <v>3137</v>
      </c>
      <c r="E46" s="17">
        <f>(Table_1[[#This Row],[users_out]]/Table_1[[#This Row],[users_in]])*100%</f>
        <v>0.64282786885245902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8" t="s">
        <v>75</v>
      </c>
      <c r="B47" s="8" t="s">
        <v>60</v>
      </c>
      <c r="C47" s="8">
        <v>104339</v>
      </c>
      <c r="D47" s="8">
        <v>19372</v>
      </c>
      <c r="E47" s="17">
        <f>(Table_1[[#This Row],[users_out]]/Table_1[[#This Row],[users_in]])*100%</f>
        <v>0.18566403741649815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8" t="s">
        <v>75</v>
      </c>
      <c r="B48" s="8" t="s">
        <v>62</v>
      </c>
      <c r="C48" s="8">
        <v>19372</v>
      </c>
      <c r="D48" s="8">
        <v>11465</v>
      </c>
      <c r="E48" s="17">
        <f>(Table_1[[#This Row],[users_out]]/Table_1[[#This Row],[users_in]])*100%</f>
        <v>0.5918335742308487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8" t="s">
        <v>75</v>
      </c>
      <c r="B49" s="8" t="s">
        <v>64</v>
      </c>
      <c r="C49" s="8">
        <v>11465</v>
      </c>
      <c r="D49" s="8">
        <v>9117</v>
      </c>
      <c r="E49" s="17">
        <f>(Table_1[[#This Row],[users_out]]/Table_1[[#This Row],[users_in]])*100%</f>
        <v>0.79520279110335801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8" t="s">
        <v>75</v>
      </c>
      <c r="B50" s="8" t="s">
        <v>65</v>
      </c>
      <c r="C50" s="8">
        <v>9117</v>
      </c>
      <c r="D50" s="8">
        <v>4867</v>
      </c>
      <c r="E50" s="17">
        <f>(Table_1[[#This Row],[users_out]]/Table_1[[#This Row],[users_in]])*100%</f>
        <v>0.53383788526927722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8" t="s">
        <v>75</v>
      </c>
      <c r="B51" s="8" t="s">
        <v>66</v>
      </c>
      <c r="C51" s="8">
        <v>4867</v>
      </c>
      <c r="D51" s="8">
        <v>3240</v>
      </c>
      <c r="E51" s="17">
        <f>(Table_1[[#This Row],[users_out]]/Table_1[[#This Row],[users_in]])*100%</f>
        <v>0.6657078282309431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8" t="s">
        <v>76</v>
      </c>
      <c r="B52" s="8" t="s">
        <v>60</v>
      </c>
      <c r="C52" s="8">
        <v>104817</v>
      </c>
      <c r="D52" s="8">
        <v>19344</v>
      </c>
      <c r="E52" s="17">
        <f>(Table_1[[#This Row],[users_out]]/Table_1[[#This Row],[users_in]])*100%</f>
        <v>0.18455021609090128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8" t="s">
        <v>76</v>
      </c>
      <c r="B53" s="8" t="s">
        <v>62</v>
      </c>
      <c r="C53" s="8">
        <v>19344</v>
      </c>
      <c r="D53" s="8">
        <v>11178</v>
      </c>
      <c r="E53" s="17">
        <f>(Table_1[[#This Row],[users_out]]/Table_1[[#This Row],[users_in]])*100%</f>
        <v>0.57785359801488834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8" t="s">
        <v>76</v>
      </c>
      <c r="B54" s="8" t="s">
        <v>64</v>
      </c>
      <c r="C54" s="8">
        <v>11178</v>
      </c>
      <c r="D54" s="8">
        <v>8866</v>
      </c>
      <c r="E54" s="17">
        <f>(Table_1[[#This Row],[users_out]]/Table_1[[#This Row],[users_in]])*100%</f>
        <v>0.7931651458221507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8" t="s">
        <v>76</v>
      </c>
      <c r="B55" s="8" t="s">
        <v>65</v>
      </c>
      <c r="C55" s="8">
        <v>8866</v>
      </c>
      <c r="D55" s="8">
        <v>4443</v>
      </c>
      <c r="E55" s="17">
        <f>(Table_1[[#This Row],[users_out]]/Table_1[[#This Row],[users_in]])*100%</f>
        <v>0.5011279043537108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8" t="s">
        <v>76</v>
      </c>
      <c r="B56" s="8" t="s">
        <v>66</v>
      </c>
      <c r="C56" s="8">
        <v>4443</v>
      </c>
      <c r="D56" s="8">
        <v>2881</v>
      </c>
      <c r="E56" s="17">
        <f>(Table_1[[#This Row],[users_out]]/Table_1[[#This Row],[users_in]])*100%</f>
        <v>0.64843574161602524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8" t="s">
        <v>77</v>
      </c>
      <c r="B57" s="8" t="s">
        <v>60</v>
      </c>
      <c r="C57" s="8">
        <v>105228</v>
      </c>
      <c r="D57" s="8">
        <v>18901</v>
      </c>
      <c r="E57" s="17">
        <f>(Table_1[[#This Row],[users_out]]/Table_1[[#This Row],[users_in]])*100%</f>
        <v>0.17961949291063214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8" t="s">
        <v>77</v>
      </c>
      <c r="B58" s="8" t="s">
        <v>62</v>
      </c>
      <c r="C58" s="8">
        <v>18901</v>
      </c>
      <c r="D58" s="8">
        <v>11578</v>
      </c>
      <c r="E58" s="17">
        <f>(Table_1[[#This Row],[users_out]]/Table_1[[#This Row],[users_in]])*100%</f>
        <v>0.6125601820009523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8" t="s">
        <v>77</v>
      </c>
      <c r="B59" s="8" t="s">
        <v>64</v>
      </c>
      <c r="C59" s="8">
        <v>11578</v>
      </c>
      <c r="D59" s="8">
        <v>8961</v>
      </c>
      <c r="E59" s="17">
        <f>(Table_1[[#This Row],[users_out]]/Table_1[[#This Row],[users_in]])*100%</f>
        <v>0.77396787009846257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8" t="s">
        <v>77</v>
      </c>
      <c r="B60" s="8" t="s">
        <v>65</v>
      </c>
      <c r="C60" s="8">
        <v>8961</v>
      </c>
      <c r="D60" s="8">
        <v>4402</v>
      </c>
      <c r="E60" s="17">
        <f>(Table_1[[#This Row],[users_out]]/Table_1[[#This Row],[users_in]])*100%</f>
        <v>0.49123981698471153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8" t="s">
        <v>77</v>
      </c>
      <c r="B61" s="8" t="s">
        <v>66</v>
      </c>
      <c r="C61" s="8">
        <v>4402</v>
      </c>
      <c r="D61" s="8">
        <v>2876</v>
      </c>
      <c r="E61" s="17">
        <f>(Table_1[[#This Row],[users_out]]/Table_1[[#This Row],[users_in]])*100%</f>
        <v>0.65333939118582463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8" t="s">
        <v>78</v>
      </c>
      <c r="B62" s="8" t="s">
        <v>60</v>
      </c>
      <c r="C62" s="8">
        <v>104403</v>
      </c>
      <c r="D62" s="8">
        <v>19238</v>
      </c>
      <c r="E62" s="17">
        <f>(Table_1[[#This Row],[users_out]]/Table_1[[#This Row],[users_in]])*100%</f>
        <v>0.18426673563020221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8" t="s">
        <v>78</v>
      </c>
      <c r="B63" s="8" t="s">
        <v>62</v>
      </c>
      <c r="C63" s="8">
        <v>19238</v>
      </c>
      <c r="D63" s="8">
        <v>11922</v>
      </c>
      <c r="E63" s="17">
        <f>(Table_1[[#This Row],[users_out]]/Table_1[[#This Row],[users_in]])*100%</f>
        <v>0.61971098866826069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8" t="s">
        <v>78</v>
      </c>
      <c r="B64" s="8" t="s">
        <v>64</v>
      </c>
      <c r="C64" s="8">
        <v>11922</v>
      </c>
      <c r="D64" s="8">
        <v>9420</v>
      </c>
      <c r="E64" s="17">
        <f>(Table_1[[#This Row],[users_out]]/Table_1[[#This Row],[users_in]])*100%</f>
        <v>0.79013588324106698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8" t="s">
        <v>78</v>
      </c>
      <c r="B65" s="8" t="s">
        <v>65</v>
      </c>
      <c r="C65" s="8">
        <v>9420</v>
      </c>
      <c r="D65" s="8">
        <v>4886</v>
      </c>
      <c r="E65" s="17">
        <f>(Table_1[[#This Row],[users_out]]/Table_1[[#This Row],[users_in]])*100%</f>
        <v>0.51868365180467091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8" t="s">
        <v>78</v>
      </c>
      <c r="B66" s="8" t="s">
        <v>66</v>
      </c>
      <c r="C66" s="8">
        <v>4886</v>
      </c>
      <c r="D66" s="8">
        <v>3137</v>
      </c>
      <c r="E66" s="17">
        <f>(Table_1[[#This Row],[users_out]]/Table_1[[#This Row],[users_in]])*100%</f>
        <v>0.64203847728203034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8" t="s">
        <v>79</v>
      </c>
      <c r="B67" s="8" t="s">
        <v>60</v>
      </c>
      <c r="C67" s="8">
        <v>104477</v>
      </c>
      <c r="D67" s="8">
        <v>19134</v>
      </c>
      <c r="E67" s="17">
        <f>(Table_1[[#This Row],[users_out]]/Table_1[[#This Row],[users_in]])*100%</f>
        <v>0.18314078696746652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8" t="s">
        <v>79</v>
      </c>
      <c r="B68" s="8" t="s">
        <v>62</v>
      </c>
      <c r="C68" s="8">
        <v>19134</v>
      </c>
      <c r="D68" s="8">
        <v>11474</v>
      </c>
      <c r="E68" s="17">
        <f>(Table_1[[#This Row],[users_out]]/Table_1[[#This Row],[users_in]])*100%</f>
        <v>0.59966551688094494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8" t="s">
        <v>79</v>
      </c>
      <c r="B69" s="8" t="s">
        <v>64</v>
      </c>
      <c r="C69" s="8">
        <v>11474</v>
      </c>
      <c r="D69" s="8">
        <v>9012</v>
      </c>
      <c r="E69" s="17">
        <f>(Table_1[[#This Row],[users_out]]/Table_1[[#This Row],[users_in]])*100%</f>
        <v>0.78542792400209172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8" t="s">
        <v>79</v>
      </c>
      <c r="B70" s="8" t="s">
        <v>65</v>
      </c>
      <c r="C70" s="8">
        <v>9012</v>
      </c>
      <c r="D70" s="8">
        <v>4394</v>
      </c>
      <c r="E70" s="17">
        <f>(Table_1[[#This Row],[users_out]]/Table_1[[#This Row],[users_in]])*100%</f>
        <v>0.48757212605415001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8" t="s">
        <v>79</v>
      </c>
      <c r="B71" s="8" t="s">
        <v>66</v>
      </c>
      <c r="C71" s="8">
        <v>4394</v>
      </c>
      <c r="D71" s="8">
        <v>2750</v>
      </c>
      <c r="E71" s="17">
        <f>(Table_1[[#This Row],[users_out]]/Table_1[[#This Row],[users_in]])*100%</f>
        <v>0.62585343650432412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8" t="s">
        <v>80</v>
      </c>
      <c r="B72" s="8" t="s">
        <v>60</v>
      </c>
      <c r="C72" s="8">
        <v>109402</v>
      </c>
      <c r="D72" s="8">
        <v>20104</v>
      </c>
      <c r="E72" s="17">
        <f>(Table_1[[#This Row],[users_out]]/Table_1[[#This Row],[users_in]])*100%</f>
        <v>0.18376263688049579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8" t="s">
        <v>80</v>
      </c>
      <c r="B73" s="8" t="s">
        <v>62</v>
      </c>
      <c r="C73" s="8">
        <v>20104</v>
      </c>
      <c r="D73" s="8">
        <v>12044</v>
      </c>
      <c r="E73" s="17">
        <f>(Table_1[[#This Row],[users_out]]/Table_1[[#This Row],[users_in]])*100%</f>
        <v>0.5990847592518902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8" t="s">
        <v>80</v>
      </c>
      <c r="B74" s="8" t="s">
        <v>64</v>
      </c>
      <c r="C74" s="8">
        <v>12044</v>
      </c>
      <c r="D74" s="8">
        <v>9325</v>
      </c>
      <c r="E74" s="17">
        <f>(Table_1[[#This Row],[users_out]]/Table_1[[#This Row],[users_in]])*100%</f>
        <v>0.77424443706409829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8" t="s">
        <v>80</v>
      </c>
      <c r="B75" s="8" t="s">
        <v>65</v>
      </c>
      <c r="C75" s="8">
        <v>9325</v>
      </c>
      <c r="D75" s="8">
        <v>4642</v>
      </c>
      <c r="E75" s="17">
        <f>(Table_1[[#This Row],[users_out]]/Table_1[[#This Row],[users_in]])*100%</f>
        <v>0.49780160857908845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8" t="s">
        <v>80</v>
      </c>
      <c r="B76" s="8" t="s">
        <v>66</v>
      </c>
      <c r="C76" s="8">
        <v>4642</v>
      </c>
      <c r="D76" s="8">
        <v>2982</v>
      </c>
      <c r="E76" s="17">
        <f>(Table_1[[#This Row],[users_out]]/Table_1[[#This Row],[users_in]])*100%</f>
        <v>0.64239551917277038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8" t="s">
        <v>81</v>
      </c>
      <c r="B77" s="8" t="s">
        <v>60</v>
      </c>
      <c r="C77" s="8">
        <v>107459</v>
      </c>
      <c r="D77" s="8">
        <v>19980</v>
      </c>
      <c r="E77" s="17">
        <f>(Table_1[[#This Row],[users_out]]/Table_1[[#This Row],[users_in]])*100%</f>
        <v>0.18593137847923394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8" t="s">
        <v>81</v>
      </c>
      <c r="B78" s="8" t="s">
        <v>62</v>
      </c>
      <c r="C78" s="8">
        <v>19980</v>
      </c>
      <c r="D78" s="8">
        <v>11707</v>
      </c>
      <c r="E78" s="17">
        <f>(Table_1[[#This Row],[users_out]]/Table_1[[#This Row],[users_in]])*100%</f>
        <v>0.58593593593593596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8" t="s">
        <v>81</v>
      </c>
      <c r="B79" s="8" t="s">
        <v>64</v>
      </c>
      <c r="C79" s="8">
        <v>11707</v>
      </c>
      <c r="D79" s="8">
        <v>9079</v>
      </c>
      <c r="E79" s="17">
        <f>(Table_1[[#This Row],[users_out]]/Table_1[[#This Row],[users_in]])*100%</f>
        <v>0.77551892030409153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8" t="s">
        <v>81</v>
      </c>
      <c r="B80" s="8" t="s">
        <v>65</v>
      </c>
      <c r="C80" s="8">
        <v>9079</v>
      </c>
      <c r="D80" s="8">
        <v>4810</v>
      </c>
      <c r="E80" s="17">
        <f>(Table_1[[#This Row],[users_out]]/Table_1[[#This Row],[users_in]])*100%</f>
        <v>0.52979403017953519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8" t="s">
        <v>81</v>
      </c>
      <c r="B81" s="8" t="s">
        <v>66</v>
      </c>
      <c r="C81" s="8">
        <v>4810</v>
      </c>
      <c r="D81" s="8">
        <v>3215</v>
      </c>
      <c r="E81" s="17">
        <f>(Table_1[[#This Row],[users_out]]/Table_1[[#This Row],[users_in]])*100%</f>
        <v>0.66839916839916835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5:M12"/>
  </mergeCells>
  <dataValidations count="3">
    <dataValidation type="custom" allowBlank="1" showDropDown="1" sqref="C2:E81" xr:uid="{00000000-0002-0000-0100-000000000000}">
      <formula1>AND(ISNUMBER(C2),(NOT(OR(NOT(ISERROR(DATEVALUE(C2))), AND(ISNUMBER(C2), LEFT(CELL("format", C2))="D")))))</formula1>
    </dataValidation>
    <dataValidation type="list" allowBlank="1" showDropDown="1" showErrorMessage="1" sqref="A2:A81" xr:uid="{00000000-0002-0000-0100-000001000000}">
      <formula1>"2026-03-09,2026-03-16,2026-03-23,2026-03-30,2026-02-03,2026-02-10,2026-02-17,2026-02-24,2026-03-03,2026-03-10,2026-03-17,2026-03-24,2026-03-31,2026-04-07,2026-04-14,2026-04-21"</formula1>
    </dataValidation>
    <dataValidation type="list" allowBlank="1" showDropDown="1" showErrorMessage="1" sqref="B2:B81" xr:uid="{00000000-0002-0000-0100-000002000000}">
      <formula1>"Просмотр карточки,Добавление в корзину,Переход к оформлению,Ввод данных,Подтверждение заказа"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zoomScale="70" zoomScaleNormal="70" workbookViewId="0">
      <pane ySplit="1" topLeftCell="A2" activePane="bottomLeft" state="frozen"/>
      <selection pane="bottomLeft" activeCell="H9" sqref="H9"/>
    </sheetView>
  </sheetViews>
  <sheetFormatPr defaultColWidth="14.44140625" defaultRowHeight="15" customHeight="1" x14ac:dyDescent="0.3"/>
  <cols>
    <col min="1" max="1" width="18.88671875" customWidth="1"/>
    <col min="2" max="2" width="17.44140625" customWidth="1"/>
    <col min="3" max="3" width="43" customWidth="1"/>
    <col min="4" max="4" width="35.44140625" customWidth="1"/>
    <col min="5" max="5" width="19.44140625" customWidth="1"/>
    <col min="6" max="25" width="8.6640625" customWidth="1"/>
  </cols>
  <sheetData>
    <row r="1" spans="1:26" ht="22.5" customHeight="1" x14ac:dyDescent="0.3">
      <c r="A1" s="7" t="s">
        <v>82</v>
      </c>
      <c r="B1" s="7" t="s">
        <v>83</v>
      </c>
      <c r="C1" s="10" t="s">
        <v>84</v>
      </c>
      <c r="D1" s="7" t="s">
        <v>85</v>
      </c>
      <c r="E1" s="7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87</v>
      </c>
      <c r="B2" s="8" t="s">
        <v>88</v>
      </c>
      <c r="C2" s="11" t="s">
        <v>89</v>
      </c>
      <c r="D2" s="8" t="s">
        <v>90</v>
      </c>
      <c r="E2" s="8" t="s">
        <v>91</v>
      </c>
      <c r="F2" s="2"/>
      <c r="G2" s="2"/>
      <c r="H2" s="30" t="s">
        <v>323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92</v>
      </c>
      <c r="B3" s="8" t="s">
        <v>88</v>
      </c>
      <c r="C3" s="11" t="s">
        <v>93</v>
      </c>
      <c r="D3" s="8" t="s">
        <v>94</v>
      </c>
      <c r="E3" s="8" t="s">
        <v>91</v>
      </c>
      <c r="F3" s="2"/>
      <c r="G3" s="2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95</v>
      </c>
      <c r="B4" s="8" t="s">
        <v>96</v>
      </c>
      <c r="C4" s="11" t="s">
        <v>97</v>
      </c>
      <c r="D4" s="8" t="s">
        <v>98</v>
      </c>
      <c r="E4" s="8" t="s">
        <v>91</v>
      </c>
      <c r="F4" s="2"/>
      <c r="G4" s="2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99</v>
      </c>
      <c r="B5" s="8" t="s">
        <v>88</v>
      </c>
      <c r="C5" s="11" t="s">
        <v>100</v>
      </c>
      <c r="D5" s="8" t="s">
        <v>101</v>
      </c>
      <c r="E5" s="8" t="s">
        <v>91</v>
      </c>
      <c r="F5" s="2"/>
      <c r="G5" s="2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102</v>
      </c>
      <c r="B6" s="8" t="s">
        <v>88</v>
      </c>
      <c r="C6" s="11" t="s">
        <v>103</v>
      </c>
      <c r="D6" s="8" t="s">
        <v>104</v>
      </c>
      <c r="E6" s="8" t="s">
        <v>91</v>
      </c>
      <c r="F6" s="2"/>
      <c r="G6" s="2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105</v>
      </c>
      <c r="B7" s="8" t="s">
        <v>96</v>
      </c>
      <c r="C7" s="11" t="s">
        <v>106</v>
      </c>
      <c r="D7" s="8" t="s">
        <v>107</v>
      </c>
      <c r="E7" s="8" t="s">
        <v>91</v>
      </c>
      <c r="F7" s="2"/>
      <c r="G7" s="2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108</v>
      </c>
      <c r="B8" s="8" t="s">
        <v>88</v>
      </c>
      <c r="C8" s="11" t="s">
        <v>109</v>
      </c>
      <c r="D8" s="8" t="s">
        <v>110</v>
      </c>
      <c r="E8" s="8" t="s">
        <v>111</v>
      </c>
      <c r="F8" s="2"/>
      <c r="G8" s="2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112</v>
      </c>
      <c r="B9" s="8" t="s">
        <v>88</v>
      </c>
      <c r="C9" s="11" t="s">
        <v>113</v>
      </c>
      <c r="D9" s="8" t="s">
        <v>114</v>
      </c>
      <c r="E9" s="8" t="s">
        <v>111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115</v>
      </c>
      <c r="B10" s="8" t="s">
        <v>96</v>
      </c>
      <c r="C10" s="11" t="s">
        <v>116</v>
      </c>
      <c r="D10" s="8" t="s">
        <v>117</v>
      </c>
      <c r="E10" s="8" t="s">
        <v>91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118</v>
      </c>
      <c r="B11" s="8" t="s">
        <v>88</v>
      </c>
      <c r="C11" s="11" t="s">
        <v>119</v>
      </c>
      <c r="D11" s="8" t="s">
        <v>120</v>
      </c>
      <c r="E11" s="8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121</v>
      </c>
      <c r="B12" s="8" t="s">
        <v>88</v>
      </c>
      <c r="C12" s="11" t="s">
        <v>122</v>
      </c>
      <c r="D12" s="8" t="s">
        <v>123</v>
      </c>
      <c r="E12" s="8" t="s">
        <v>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124</v>
      </c>
      <c r="B13" s="8" t="s">
        <v>88</v>
      </c>
      <c r="C13" s="11" t="s">
        <v>125</v>
      </c>
      <c r="D13" s="8" t="s">
        <v>126</v>
      </c>
      <c r="E13" s="8" t="s">
        <v>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127</v>
      </c>
      <c r="B14" s="8" t="s">
        <v>96</v>
      </c>
      <c r="C14" s="11" t="s">
        <v>128</v>
      </c>
      <c r="D14" s="8" t="s">
        <v>129</v>
      </c>
      <c r="E14" s="8" t="s">
        <v>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130</v>
      </c>
      <c r="B15" s="8" t="s">
        <v>88</v>
      </c>
      <c r="C15" s="11" t="s">
        <v>131</v>
      </c>
      <c r="D15" s="8" t="s">
        <v>132</v>
      </c>
      <c r="E15" s="8" t="s">
        <v>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133</v>
      </c>
      <c r="B16" s="8" t="s">
        <v>88</v>
      </c>
      <c r="C16" s="11" t="s">
        <v>134</v>
      </c>
      <c r="D16" s="8" t="s">
        <v>135</v>
      </c>
      <c r="E16" s="8" t="s">
        <v>91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136</v>
      </c>
      <c r="B17" s="8" t="s">
        <v>96</v>
      </c>
      <c r="C17" s="11" t="s">
        <v>137</v>
      </c>
      <c r="D17" s="8" t="s">
        <v>138</v>
      </c>
      <c r="E17" s="8" t="s">
        <v>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139</v>
      </c>
      <c r="B18" s="8" t="s">
        <v>88</v>
      </c>
      <c r="C18" s="11" t="s">
        <v>140</v>
      </c>
      <c r="D18" s="8" t="s">
        <v>141</v>
      </c>
      <c r="E18" s="8" t="s">
        <v>142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143</v>
      </c>
      <c r="B19" s="8" t="s">
        <v>96</v>
      </c>
      <c r="C19" s="11" t="s">
        <v>144</v>
      </c>
      <c r="D19" s="8" t="s">
        <v>145</v>
      </c>
      <c r="E19" s="8" t="s">
        <v>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146</v>
      </c>
      <c r="B20" s="8" t="s">
        <v>88</v>
      </c>
      <c r="C20" s="11" t="s">
        <v>147</v>
      </c>
      <c r="D20" s="8" t="s">
        <v>148</v>
      </c>
      <c r="E20" s="8" t="s">
        <v>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149</v>
      </c>
      <c r="B21" s="8" t="s">
        <v>88</v>
      </c>
      <c r="C21" s="11" t="s">
        <v>150</v>
      </c>
      <c r="D21" s="8" t="s">
        <v>151</v>
      </c>
      <c r="E21" s="8" t="s">
        <v>91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152</v>
      </c>
      <c r="B22" s="8" t="s">
        <v>96</v>
      </c>
      <c r="C22" s="11" t="s">
        <v>153</v>
      </c>
      <c r="D22" s="8" t="s">
        <v>154</v>
      </c>
      <c r="E22" s="8" t="s">
        <v>142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155</v>
      </c>
      <c r="B23" s="8" t="s">
        <v>88</v>
      </c>
      <c r="C23" s="11" t="s">
        <v>156</v>
      </c>
      <c r="D23" s="8" t="s">
        <v>157</v>
      </c>
      <c r="E23" s="8" t="s">
        <v>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158</v>
      </c>
      <c r="B24" s="8" t="s">
        <v>96</v>
      </c>
      <c r="C24" s="11" t="s">
        <v>159</v>
      </c>
      <c r="D24" s="8" t="s">
        <v>160</v>
      </c>
      <c r="E24" s="8" t="s">
        <v>91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161</v>
      </c>
      <c r="B25" s="8" t="s">
        <v>88</v>
      </c>
      <c r="C25" s="11" t="s">
        <v>162</v>
      </c>
      <c r="D25" s="8" t="s">
        <v>163</v>
      </c>
      <c r="E25" s="8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164</v>
      </c>
      <c r="B26" s="8" t="s">
        <v>88</v>
      </c>
      <c r="C26" s="11" t="s">
        <v>165</v>
      </c>
      <c r="D26" s="8" t="s">
        <v>166</v>
      </c>
      <c r="E26" s="8" t="s">
        <v>111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167</v>
      </c>
      <c r="B27" s="8" t="s">
        <v>88</v>
      </c>
      <c r="C27" s="11" t="s">
        <v>122</v>
      </c>
      <c r="D27" s="8" t="s">
        <v>123</v>
      </c>
      <c r="E27" s="8" t="s">
        <v>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168</v>
      </c>
      <c r="B28" s="8" t="s">
        <v>88</v>
      </c>
      <c r="C28" s="11" t="s">
        <v>125</v>
      </c>
      <c r="D28" s="8" t="s">
        <v>126</v>
      </c>
      <c r="E28" s="8" t="s">
        <v>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169</v>
      </c>
      <c r="B29" s="8" t="s">
        <v>96</v>
      </c>
      <c r="C29" s="11" t="s">
        <v>128</v>
      </c>
      <c r="D29" s="8" t="s">
        <v>129</v>
      </c>
      <c r="E29" s="8" t="s">
        <v>91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170</v>
      </c>
      <c r="B30" s="8" t="s">
        <v>88</v>
      </c>
      <c r="C30" s="11" t="s">
        <v>131</v>
      </c>
      <c r="D30" s="8" t="s">
        <v>132</v>
      </c>
      <c r="E30" s="8" t="s">
        <v>111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171</v>
      </c>
      <c r="B31" s="8" t="s">
        <v>88</v>
      </c>
      <c r="C31" s="11" t="s">
        <v>134</v>
      </c>
      <c r="D31" s="8" t="s">
        <v>135</v>
      </c>
      <c r="E31" s="8" t="s">
        <v>91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2:R8"/>
  </mergeCells>
  <dataValidations count="2">
    <dataValidation type="list" allowBlank="1" showDropDown="1" showErrorMessage="1" sqref="B2:B31" xr:uid="{00000000-0002-0000-0200-000000000000}">
      <formula1>"Чат,Почта"</formula1>
    </dataValidation>
    <dataValidation type="list" allowBlank="1" showDropDown="1" showErrorMessage="1" sqref="E2:E31" xr:uid="{00000000-0002-0000-0200-000001000000}">
      <formula1>"negative,neutral,positive"</formula1>
    </dataValidation>
  </dataValidations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2" zoomScaleNormal="85" workbookViewId="0">
      <pane ySplit="1" topLeftCell="A2" activePane="bottomLeft" state="frozen"/>
      <selection pane="bottomLeft" activeCell="K12" sqref="K12"/>
    </sheetView>
  </sheetViews>
  <sheetFormatPr defaultColWidth="14.44140625" defaultRowHeight="15" customHeight="1" x14ac:dyDescent="0.3"/>
  <cols>
    <col min="1" max="1" width="13.109375" customWidth="1"/>
    <col min="2" max="2" width="8.5546875" customWidth="1"/>
    <col min="3" max="3" width="52.44140625" customWidth="1"/>
    <col min="4" max="4" width="26.109375" customWidth="1"/>
    <col min="5" max="24" width="8.6640625" customWidth="1"/>
  </cols>
  <sheetData>
    <row r="1" spans="1:26" ht="22.5" customHeight="1" x14ac:dyDescent="0.3">
      <c r="A1" s="7" t="s">
        <v>54</v>
      </c>
      <c r="B1" s="7" t="s">
        <v>172</v>
      </c>
      <c r="C1" s="10" t="s">
        <v>173</v>
      </c>
      <c r="D1" s="7" t="s">
        <v>174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78</v>
      </c>
      <c r="B2" s="8">
        <v>1</v>
      </c>
      <c r="C2" s="11" t="s">
        <v>186</v>
      </c>
      <c r="D2" s="8" t="s">
        <v>187</v>
      </c>
      <c r="E2" s="2"/>
      <c r="F2" s="2"/>
      <c r="G2" s="30" t="s">
        <v>324</v>
      </c>
      <c r="H2" s="29"/>
      <c r="I2" s="29"/>
      <c r="J2" s="29"/>
      <c r="K2" s="29"/>
      <c r="L2" s="29"/>
      <c r="M2" s="29"/>
      <c r="N2" s="29"/>
      <c r="O2" s="29"/>
      <c r="P2" s="29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203</v>
      </c>
      <c r="B3" s="8">
        <v>1</v>
      </c>
      <c r="C3" s="11" t="s">
        <v>186</v>
      </c>
      <c r="D3" s="8" t="s">
        <v>187</v>
      </c>
      <c r="E3" s="2"/>
      <c r="F3" s="2"/>
      <c r="G3" s="29"/>
      <c r="H3" s="29"/>
      <c r="I3" s="29"/>
      <c r="J3" s="29"/>
      <c r="K3" s="29"/>
      <c r="L3" s="29"/>
      <c r="M3" s="29"/>
      <c r="N3" s="29"/>
      <c r="O3" s="29"/>
      <c r="P3" s="29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210</v>
      </c>
      <c r="B4" s="8">
        <v>1</v>
      </c>
      <c r="C4" s="11" t="s">
        <v>211</v>
      </c>
      <c r="D4" s="8" t="s">
        <v>212</v>
      </c>
      <c r="E4" s="2"/>
      <c r="F4" s="2"/>
      <c r="G4" s="29"/>
      <c r="H4" s="29"/>
      <c r="I4" s="29"/>
      <c r="J4" s="29"/>
      <c r="K4" s="29"/>
      <c r="L4" s="29"/>
      <c r="M4" s="29"/>
      <c r="N4" s="29"/>
      <c r="O4" s="29"/>
      <c r="P4" s="29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175</v>
      </c>
      <c r="B5" s="8">
        <v>2</v>
      </c>
      <c r="C5" s="11" t="s">
        <v>178</v>
      </c>
      <c r="D5" s="8" t="s">
        <v>179</v>
      </c>
      <c r="E5" s="2"/>
      <c r="F5" s="2"/>
      <c r="G5" s="29"/>
      <c r="H5" s="29"/>
      <c r="I5" s="29"/>
      <c r="J5" s="29"/>
      <c r="K5" s="29"/>
      <c r="L5" s="29"/>
      <c r="M5" s="29"/>
      <c r="N5" s="29"/>
      <c r="O5" s="29"/>
      <c r="P5" s="29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180</v>
      </c>
      <c r="B6" s="8">
        <v>2</v>
      </c>
      <c r="C6" s="11" t="s">
        <v>183</v>
      </c>
      <c r="D6" s="8" t="s">
        <v>184</v>
      </c>
      <c r="E6" s="2"/>
      <c r="F6" s="2"/>
      <c r="G6" s="29"/>
      <c r="H6" s="29"/>
      <c r="I6" s="29"/>
      <c r="J6" s="29"/>
      <c r="K6" s="29"/>
      <c r="L6" s="29"/>
      <c r="M6" s="29"/>
      <c r="N6" s="29"/>
      <c r="O6" s="29"/>
      <c r="P6" s="29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191</v>
      </c>
      <c r="B7" s="8">
        <v>2</v>
      </c>
      <c r="C7" s="11" t="s">
        <v>192</v>
      </c>
      <c r="D7" s="8" t="s">
        <v>123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196</v>
      </c>
      <c r="B8" s="8">
        <v>2</v>
      </c>
      <c r="C8" s="11" t="s">
        <v>197</v>
      </c>
      <c r="D8" s="8" t="s">
        <v>198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79</v>
      </c>
      <c r="B9" s="8">
        <v>2</v>
      </c>
      <c r="C9" s="11" t="s">
        <v>178</v>
      </c>
      <c r="D9" s="8" t="s">
        <v>179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201</v>
      </c>
      <c r="B10" s="8">
        <v>2</v>
      </c>
      <c r="C10" s="11" t="s">
        <v>183</v>
      </c>
      <c r="D10" s="8" t="s">
        <v>184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205</v>
      </c>
      <c r="B11" s="8">
        <v>2</v>
      </c>
      <c r="C11" s="11" t="s">
        <v>192</v>
      </c>
      <c r="D11" s="8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206</v>
      </c>
      <c r="B12" s="8">
        <v>2</v>
      </c>
      <c r="C12" s="11" t="s">
        <v>197</v>
      </c>
      <c r="D12" s="8" t="s">
        <v>198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213</v>
      </c>
      <c r="B13" s="8">
        <v>2</v>
      </c>
      <c r="C13" s="11" t="s">
        <v>214</v>
      </c>
      <c r="D13" s="8" t="s">
        <v>215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218</v>
      </c>
      <c r="B14" s="8">
        <v>2</v>
      </c>
      <c r="C14" s="11" t="s">
        <v>219</v>
      </c>
      <c r="D14" s="8" t="s">
        <v>187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220</v>
      </c>
      <c r="B15" s="8">
        <v>2</v>
      </c>
      <c r="C15" s="11" t="s">
        <v>178</v>
      </c>
      <c r="D15" s="8" t="s">
        <v>179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222</v>
      </c>
      <c r="B16" s="8">
        <v>2</v>
      </c>
      <c r="C16" s="11" t="s">
        <v>183</v>
      </c>
      <c r="D16" s="8" t="s">
        <v>184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180</v>
      </c>
      <c r="B17" s="8">
        <v>3</v>
      </c>
      <c r="C17" s="11" t="s">
        <v>181</v>
      </c>
      <c r="D17" s="8" t="s">
        <v>182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188</v>
      </c>
      <c r="B18" s="8">
        <v>3</v>
      </c>
      <c r="C18" s="11" t="s">
        <v>189</v>
      </c>
      <c r="D18" s="8" t="s">
        <v>190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200</v>
      </c>
      <c r="B19" s="8">
        <v>3</v>
      </c>
      <c r="C19" s="11" t="s">
        <v>181</v>
      </c>
      <c r="D19" s="8" t="s">
        <v>182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204</v>
      </c>
      <c r="B20" s="8">
        <v>3</v>
      </c>
      <c r="C20" s="11" t="s">
        <v>189</v>
      </c>
      <c r="D20" s="8" t="s">
        <v>190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221</v>
      </c>
      <c r="B21" s="8">
        <v>3</v>
      </c>
      <c r="C21" s="11" t="s">
        <v>181</v>
      </c>
      <c r="D21" s="8" t="s">
        <v>182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175</v>
      </c>
      <c r="B22" s="8">
        <v>4</v>
      </c>
      <c r="C22" s="11" t="s">
        <v>176</v>
      </c>
      <c r="D22" s="8" t="s">
        <v>177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193</v>
      </c>
      <c r="B23" s="8">
        <v>4</v>
      </c>
      <c r="C23" s="11" t="s">
        <v>194</v>
      </c>
      <c r="D23" s="8" t="s">
        <v>195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199</v>
      </c>
      <c r="B24" s="8">
        <v>4</v>
      </c>
      <c r="C24" s="11" t="s">
        <v>176</v>
      </c>
      <c r="D24" s="8" t="s">
        <v>177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80</v>
      </c>
      <c r="B25" s="8">
        <v>4</v>
      </c>
      <c r="C25" s="11" t="s">
        <v>194</v>
      </c>
      <c r="D25" s="8" t="s">
        <v>195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207</v>
      </c>
      <c r="B26" s="8">
        <v>4</v>
      </c>
      <c r="C26" s="11" t="s">
        <v>208</v>
      </c>
      <c r="D26" s="8" t="s">
        <v>209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81</v>
      </c>
      <c r="B27" s="8">
        <v>4</v>
      </c>
      <c r="C27" s="11" t="s">
        <v>176</v>
      </c>
      <c r="D27" s="8" t="s">
        <v>177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69</v>
      </c>
      <c r="B28" s="8">
        <v>5</v>
      </c>
      <c r="C28" s="11" t="s">
        <v>185</v>
      </c>
      <c r="D28" s="8" t="s">
        <v>141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202</v>
      </c>
      <c r="B29" s="8">
        <v>5</v>
      </c>
      <c r="C29" s="11" t="s">
        <v>185</v>
      </c>
      <c r="D29" s="8" t="s">
        <v>141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216</v>
      </c>
      <c r="B30" s="8">
        <v>5</v>
      </c>
      <c r="C30" s="11" t="s">
        <v>217</v>
      </c>
      <c r="D30" s="8" t="s">
        <v>141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223</v>
      </c>
      <c r="B31" s="8">
        <v>5</v>
      </c>
      <c r="C31" s="11" t="s">
        <v>185</v>
      </c>
      <c r="D31" s="8" t="s">
        <v>141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2:P6"/>
  </mergeCells>
  <dataValidations count="2">
    <dataValidation type="custom" allowBlank="1" showDropDown="1" sqref="B2:B31" xr:uid="{00000000-0002-0000-0300-000000000000}">
      <formula1>AND(ISNUMBER(B2),(NOT(OR(NOT(ISERROR(DATEVALUE(B2))), AND(ISNUMBER(B2), LEFT(CELL("format", B2))="D")))))</formula1>
    </dataValidation>
    <dataValidation type="list" allowBlank="1" sqref="D2:D31" xr:uid="{00000000-0002-0000-0300-000001000000}">
      <formula1>"checkout flow,delivery step,checkout complexity,price trust,navigation,payment trust,recheck,delivery info,promo clarity,too many steps,summary,delivery price,mobile friction"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35.88671875" customWidth="1"/>
    <col min="2" max="2" width="55.33203125" customWidth="1"/>
    <col min="3" max="22" width="8.6640625" customWidth="1"/>
  </cols>
  <sheetData>
    <row r="1" spans="1:26" ht="14.4" x14ac:dyDescent="0.3">
      <c r="A1" s="13" t="s">
        <v>224</v>
      </c>
      <c r="B1" s="13" t="s">
        <v>225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2" x14ac:dyDescent="0.3">
      <c r="A2" s="12" t="s">
        <v>226</v>
      </c>
      <c r="B2" s="12" t="s">
        <v>227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2" x14ac:dyDescent="0.3">
      <c r="A3" s="12" t="s">
        <v>228</v>
      </c>
      <c r="B3" s="12" t="s">
        <v>229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2" x14ac:dyDescent="0.3">
      <c r="A4" s="12" t="s">
        <v>230</v>
      </c>
      <c r="B4" s="12" t="s">
        <v>231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2" x14ac:dyDescent="0.3">
      <c r="A5" s="12" t="s">
        <v>232</v>
      </c>
      <c r="B5" s="12" t="s">
        <v>233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2" x14ac:dyDescent="0.3">
      <c r="A6" s="12" t="s">
        <v>234</v>
      </c>
      <c r="B6" s="1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2" x14ac:dyDescent="0.3">
      <c r="A7" s="12" t="s">
        <v>236</v>
      </c>
      <c r="B7" s="12" t="s">
        <v>237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 x14ac:dyDescent="0.3">
      <c r="A8" s="12" t="s">
        <v>238</v>
      </c>
      <c r="B8" s="12" t="s">
        <v>239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2" x14ac:dyDescent="0.3">
      <c r="A9" s="12" t="s">
        <v>240</v>
      </c>
      <c r="B9" s="12" t="s">
        <v>241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2" x14ac:dyDescent="0.3">
      <c r="A10" s="12" t="s">
        <v>242</v>
      </c>
      <c r="B10" s="12" t="s">
        <v>243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2" x14ac:dyDescent="0.3">
      <c r="A11" s="12" t="s">
        <v>244</v>
      </c>
      <c r="B11" s="12" t="s">
        <v>245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2" x14ac:dyDescent="0.3">
      <c r="A12" s="12" t="s">
        <v>246</v>
      </c>
      <c r="B12" s="12" t="s">
        <v>247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2" x14ac:dyDescent="0.3">
      <c r="A13" s="12" t="s">
        <v>248</v>
      </c>
      <c r="B13" s="12" t="s">
        <v>249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2" x14ac:dyDescent="0.3">
      <c r="A14" s="12" t="s">
        <v>250</v>
      </c>
      <c r="B14" s="12" t="s">
        <v>251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C2" sqref="C2:C14"/>
    </sheetView>
  </sheetViews>
  <sheetFormatPr defaultColWidth="14.44140625" defaultRowHeight="15" customHeight="1" x14ac:dyDescent="0.3"/>
  <cols>
    <col min="1" max="1" width="14.44140625" customWidth="1"/>
    <col min="2" max="2" width="63.88671875" customWidth="1"/>
    <col min="3" max="3" width="118.109375" customWidth="1"/>
    <col min="4" max="6" width="14.44140625" customWidth="1"/>
  </cols>
  <sheetData>
    <row r="1" spans="1:26" ht="14.4" x14ac:dyDescent="0.3">
      <c r="A1" s="14" t="s">
        <v>252</v>
      </c>
      <c r="B1" s="15" t="s">
        <v>253</v>
      </c>
      <c r="C1" s="14" t="s">
        <v>254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6" customHeight="1" x14ac:dyDescent="0.3">
      <c r="A2" s="16" t="s">
        <v>255</v>
      </c>
      <c r="B2" s="19" t="s">
        <v>256</v>
      </c>
      <c r="C2" s="34" t="s">
        <v>310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255</v>
      </c>
      <c r="B3" s="19" t="s">
        <v>257</v>
      </c>
      <c r="C3" s="34" t="s">
        <v>311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255</v>
      </c>
      <c r="B4" s="19" t="s">
        <v>258</v>
      </c>
      <c r="C4" s="34" t="s">
        <v>312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2" x14ac:dyDescent="0.3">
      <c r="A5" s="16" t="s">
        <v>255</v>
      </c>
      <c r="B5" s="19" t="s">
        <v>259</v>
      </c>
      <c r="C5" s="34" t="s">
        <v>313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16" t="s">
        <v>260</v>
      </c>
      <c r="B6" s="19" t="s">
        <v>261</v>
      </c>
      <c r="C6" s="34" t="s">
        <v>314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260</v>
      </c>
      <c r="B7" s="19" t="s">
        <v>262</v>
      </c>
      <c r="C7" s="34" t="s">
        <v>320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260</v>
      </c>
      <c r="B8" s="19" t="s">
        <v>263</v>
      </c>
      <c r="C8" s="34" t="s">
        <v>315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264</v>
      </c>
      <c r="B9" s="19" t="s">
        <v>265</v>
      </c>
      <c r="C9" s="34" t="s">
        <v>354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2" x14ac:dyDescent="0.3">
      <c r="A10" s="16" t="s">
        <v>264</v>
      </c>
      <c r="B10" s="19" t="s">
        <v>266</v>
      </c>
      <c r="C10" s="20" t="s">
        <v>321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264</v>
      </c>
      <c r="B11" s="19" t="s">
        <v>267</v>
      </c>
      <c r="C11" s="35" t="s">
        <v>316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" x14ac:dyDescent="0.3">
      <c r="A12" s="16" t="s">
        <v>268</v>
      </c>
      <c r="B12" s="19" t="s">
        <v>269</v>
      </c>
      <c r="C12" s="34" t="s">
        <v>317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16" t="s">
        <v>268</v>
      </c>
      <c r="B13" s="19" t="s">
        <v>270</v>
      </c>
      <c r="C13" s="34" t="s">
        <v>318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" x14ac:dyDescent="0.3">
      <c r="A14" s="16" t="s">
        <v>268</v>
      </c>
      <c r="B14" s="19" t="s">
        <v>271</v>
      </c>
      <c r="C14" s="34" t="s">
        <v>319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sqref="A1:C8"/>
    </sheetView>
  </sheetViews>
  <sheetFormatPr defaultColWidth="14.44140625" defaultRowHeight="15" customHeight="1" x14ac:dyDescent="0.3"/>
  <cols>
    <col min="1" max="1" width="14.44140625" customWidth="1"/>
    <col min="2" max="2" width="25.6640625" customWidth="1"/>
    <col min="3" max="3" width="90.109375" customWidth="1"/>
    <col min="4" max="6" width="14.44140625" customWidth="1"/>
  </cols>
  <sheetData>
    <row r="1" spans="1:26" ht="14.4" x14ac:dyDescent="0.3">
      <c r="A1" s="37" t="s">
        <v>272</v>
      </c>
      <c r="B1" s="37" t="s">
        <v>253</v>
      </c>
      <c r="C1" s="37" t="s">
        <v>254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3.2" x14ac:dyDescent="0.3">
      <c r="A2" s="38" t="s">
        <v>273</v>
      </c>
      <c r="B2" s="38" t="s">
        <v>274</v>
      </c>
      <c r="C2" s="38" t="s">
        <v>355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43.2" x14ac:dyDescent="0.3">
      <c r="A3" s="38" t="s">
        <v>273</v>
      </c>
      <c r="B3" s="38" t="s">
        <v>275</v>
      </c>
      <c r="C3" s="38" t="s">
        <v>356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72" x14ac:dyDescent="0.3">
      <c r="A4" s="38" t="s">
        <v>276</v>
      </c>
      <c r="B4" s="38" t="s">
        <v>277</v>
      </c>
      <c r="C4" s="38" t="s">
        <v>360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86.4" x14ac:dyDescent="0.3">
      <c r="A5" s="38" t="s">
        <v>276</v>
      </c>
      <c r="B5" s="38" t="s">
        <v>278</v>
      </c>
      <c r="C5" s="38" t="s">
        <v>357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72" x14ac:dyDescent="0.3">
      <c r="A6" s="38" t="s">
        <v>279</v>
      </c>
      <c r="B6" s="38" t="s">
        <v>280</v>
      </c>
      <c r="C6" s="38" t="s">
        <v>358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.6" x14ac:dyDescent="0.3">
      <c r="A7" s="38" t="s">
        <v>281</v>
      </c>
      <c r="B7" s="38" t="s">
        <v>282</v>
      </c>
      <c r="C7" s="38" t="s">
        <v>359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72" x14ac:dyDescent="0.3">
      <c r="A8" s="38" t="s">
        <v>281</v>
      </c>
      <c r="B8" s="38" t="s">
        <v>283</v>
      </c>
      <c r="C8" s="38" t="s">
        <v>361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B1" workbookViewId="0">
      <selection activeCell="C12" sqref="C12"/>
    </sheetView>
  </sheetViews>
  <sheetFormatPr defaultColWidth="14.44140625" defaultRowHeight="15" customHeight="1" x14ac:dyDescent="0.3"/>
  <cols>
    <col min="1" max="1" width="14.44140625" customWidth="1"/>
    <col min="2" max="2" width="29" customWidth="1"/>
    <col min="3" max="3" width="127.88671875" customWidth="1"/>
    <col min="4" max="6" width="14.44140625" customWidth="1"/>
  </cols>
  <sheetData>
    <row r="1" spans="1:26" s="22" customFormat="1" ht="14.4" x14ac:dyDescent="0.3">
      <c r="A1" s="40" t="s">
        <v>252</v>
      </c>
      <c r="B1" s="39" t="s">
        <v>253</v>
      </c>
      <c r="C1" s="39" t="s">
        <v>254</v>
      </c>
      <c r="D1" s="40"/>
      <c r="E1" s="40"/>
      <c r="F1" s="40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4.4" x14ac:dyDescent="0.3">
      <c r="A2" s="16" t="s">
        <v>284</v>
      </c>
      <c r="B2" s="38" t="s">
        <v>285</v>
      </c>
      <c r="C2" s="38" t="s">
        <v>362</v>
      </c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284</v>
      </c>
      <c r="B3" s="38" t="s">
        <v>286</v>
      </c>
      <c r="C3" s="38" t="s">
        <v>363</v>
      </c>
      <c r="D3" s="16"/>
      <c r="E3" s="16"/>
      <c r="F3" s="1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16" t="s">
        <v>287</v>
      </c>
      <c r="B4" s="38" t="s">
        <v>288</v>
      </c>
      <c r="C4" s="38" t="s">
        <v>367</v>
      </c>
      <c r="D4" s="16"/>
      <c r="E4" s="16"/>
      <c r="F4" s="1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16" t="s">
        <v>287</v>
      </c>
      <c r="B5" s="38" t="s">
        <v>289</v>
      </c>
      <c r="C5" s="38" t="s">
        <v>365</v>
      </c>
      <c r="D5" s="16"/>
      <c r="E5" s="16"/>
      <c r="F5" s="1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38" t="s">
        <v>291</v>
      </c>
      <c r="C6" s="38" t="s">
        <v>368</v>
      </c>
      <c r="D6" s="16"/>
      <c r="E6" s="16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290</v>
      </c>
      <c r="B7" s="38" t="s">
        <v>292</v>
      </c>
      <c r="C7" s="38" t="s">
        <v>369</v>
      </c>
      <c r="D7" s="16"/>
      <c r="E7" s="16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290</v>
      </c>
      <c r="B8" s="38" t="s">
        <v>293</v>
      </c>
      <c r="C8" s="38" t="s">
        <v>364</v>
      </c>
      <c r="D8" s="16"/>
      <c r="E8" s="16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" x14ac:dyDescent="0.3">
      <c r="A9" s="16" t="s">
        <v>294</v>
      </c>
      <c r="B9" s="38" t="s">
        <v>295</v>
      </c>
      <c r="C9" s="38" t="s">
        <v>370</v>
      </c>
      <c r="D9" s="16"/>
      <c r="E9" s="16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16" t="s">
        <v>296</v>
      </c>
      <c r="B10" s="38" t="s">
        <v>297</v>
      </c>
      <c r="C10" s="38" t="s">
        <v>371</v>
      </c>
      <c r="D10" s="16"/>
      <c r="E10" s="16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2" x14ac:dyDescent="0.3">
      <c r="A11" s="16" t="s">
        <v>298</v>
      </c>
      <c r="B11" s="38" t="s">
        <v>299</v>
      </c>
      <c r="C11" s="38" t="s">
        <v>366</v>
      </c>
      <c r="D11" s="16"/>
      <c r="E11" s="16"/>
      <c r="F11" s="1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1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6"/>
      <c r="B14" s="16"/>
      <c r="C14" s="16"/>
      <c r="D14" s="16"/>
      <c r="E14" s="16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6"/>
      <c r="B15" s="16"/>
      <c r="C15" s="16"/>
      <c r="D15" s="16"/>
      <c r="E15" s="16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6"/>
      <c r="B16" s="16"/>
      <c r="C16" s="16"/>
      <c r="D16" s="16"/>
      <c r="E16" s="16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6"/>
      <c r="B17" s="16"/>
      <c r="C17" s="16"/>
      <c r="D17" s="16"/>
      <c r="E17" s="16"/>
      <c r="F17" s="1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4.44140625" customWidth="1"/>
    <col min="2" max="2" width="30.6640625" customWidth="1"/>
    <col min="3" max="3" width="109.109375" customWidth="1"/>
    <col min="4" max="6" width="14.44140625" customWidth="1"/>
  </cols>
  <sheetData>
    <row r="1" spans="1:26" s="22" customFormat="1" ht="14.4" x14ac:dyDescent="0.3">
      <c r="A1" s="39" t="s">
        <v>252</v>
      </c>
      <c r="B1" s="39" t="s">
        <v>253</v>
      </c>
      <c r="C1" s="39" t="s">
        <v>254</v>
      </c>
      <c r="D1" s="40"/>
      <c r="E1" s="40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4.4" x14ac:dyDescent="0.3">
      <c r="A2" s="38" t="s">
        <v>284</v>
      </c>
      <c r="B2" s="38" t="s">
        <v>285</v>
      </c>
      <c r="C2" s="38" t="s">
        <v>372</v>
      </c>
      <c r="D2" s="16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38" t="s">
        <v>284</v>
      </c>
      <c r="B3" s="38" t="s">
        <v>286</v>
      </c>
      <c r="C3" s="38" t="s">
        <v>373</v>
      </c>
      <c r="D3" s="16"/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38" t="s">
        <v>287</v>
      </c>
      <c r="B4" s="38" t="s">
        <v>288</v>
      </c>
      <c r="C4" s="38" t="s">
        <v>374</v>
      </c>
      <c r="D4" s="16"/>
      <c r="E4" s="1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38" t="s">
        <v>287</v>
      </c>
      <c r="B5" s="38" t="s">
        <v>289</v>
      </c>
      <c r="C5" s="38" t="s">
        <v>375</v>
      </c>
      <c r="D5" s="16"/>
      <c r="E5" s="1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8" t="s">
        <v>290</v>
      </c>
      <c r="B6" s="38" t="s">
        <v>300</v>
      </c>
      <c r="C6" s="38" t="s">
        <v>378</v>
      </c>
      <c r="D6" s="16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38" t="s">
        <v>290</v>
      </c>
      <c r="B7" s="38" t="s">
        <v>301</v>
      </c>
      <c r="C7" s="38" t="s">
        <v>376</v>
      </c>
      <c r="D7" s="16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38" t="s">
        <v>290</v>
      </c>
      <c r="B8" s="38" t="s">
        <v>302</v>
      </c>
      <c r="C8" s="38" t="s">
        <v>379</v>
      </c>
      <c r="D8" s="16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" x14ac:dyDescent="0.3">
      <c r="A9" s="38" t="s">
        <v>294</v>
      </c>
      <c r="B9" s="38" t="s">
        <v>295</v>
      </c>
      <c r="C9" s="38" t="s">
        <v>380</v>
      </c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38" t="s">
        <v>296</v>
      </c>
      <c r="B10" s="38" t="s">
        <v>303</v>
      </c>
      <c r="C10" s="38" t="s">
        <v>381</v>
      </c>
      <c r="D10" s="16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8" x14ac:dyDescent="0.3">
      <c r="A11" s="38" t="s">
        <v>298</v>
      </c>
      <c r="B11" s="38" t="s">
        <v>299</v>
      </c>
      <c r="C11" s="38" t="s">
        <v>377</v>
      </c>
      <c r="D11" s="1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5.44140625" style="35" customWidth="1"/>
    <col min="2" max="2" width="22.77734375" style="46" customWidth="1"/>
    <col min="3" max="3" width="24.33203125" style="35" customWidth="1"/>
    <col min="4" max="4" width="32.109375" style="35" customWidth="1"/>
    <col min="5" max="5" width="22.21875" style="35" customWidth="1"/>
    <col min="6" max="6" width="16.88671875" style="35" customWidth="1"/>
    <col min="7" max="16384" width="14.44140625" style="35"/>
  </cols>
  <sheetData>
    <row r="1" spans="1:26" s="22" customFormat="1" ht="14.4" x14ac:dyDescent="0.3">
      <c r="A1" s="39" t="s">
        <v>304</v>
      </c>
      <c r="B1" s="44" t="s">
        <v>305</v>
      </c>
      <c r="C1" s="39" t="s">
        <v>306</v>
      </c>
      <c r="D1" s="39" t="s">
        <v>307</v>
      </c>
      <c r="E1" s="39" t="s">
        <v>308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43.2" x14ac:dyDescent="0.3">
      <c r="A2" s="42">
        <v>1</v>
      </c>
      <c r="B2" s="45" t="s">
        <v>382</v>
      </c>
      <c r="C2" s="38" t="s">
        <v>389</v>
      </c>
      <c r="D2" s="38" t="s">
        <v>396</v>
      </c>
      <c r="E2" s="38" t="s">
        <v>403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43.2" x14ac:dyDescent="0.3">
      <c r="A3" s="42">
        <v>2</v>
      </c>
      <c r="B3" s="45" t="s">
        <v>383</v>
      </c>
      <c r="C3" s="38" t="s">
        <v>390</v>
      </c>
      <c r="D3" s="38" t="s">
        <v>397</v>
      </c>
      <c r="E3" s="38" t="s">
        <v>404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57.6" x14ac:dyDescent="0.3">
      <c r="A4" s="42">
        <v>3</v>
      </c>
      <c r="B4" s="45" t="s">
        <v>384</v>
      </c>
      <c r="C4" s="38" t="s">
        <v>391</v>
      </c>
      <c r="D4" s="38" t="s">
        <v>398</v>
      </c>
      <c r="E4" s="38" t="s">
        <v>405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57.6" x14ac:dyDescent="0.3">
      <c r="A5" s="42">
        <v>4</v>
      </c>
      <c r="B5" s="45" t="s">
        <v>385</v>
      </c>
      <c r="C5" s="38" t="s">
        <v>392</v>
      </c>
      <c r="D5" s="38" t="s">
        <v>399</v>
      </c>
      <c r="E5" s="38" t="s">
        <v>406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57.6" x14ac:dyDescent="0.3">
      <c r="A6" s="42">
        <v>5</v>
      </c>
      <c r="B6" s="45" t="s">
        <v>386</v>
      </c>
      <c r="C6" s="38" t="s">
        <v>393</v>
      </c>
      <c r="D6" s="38" t="s">
        <v>400</v>
      </c>
      <c r="E6" s="38" t="s">
        <v>407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57.6" x14ac:dyDescent="0.3">
      <c r="A7" s="42">
        <v>6</v>
      </c>
      <c r="B7" s="45" t="s">
        <v>387</v>
      </c>
      <c r="C7" s="38" t="s">
        <v>394</v>
      </c>
      <c r="D7" s="38" t="s">
        <v>401</v>
      </c>
      <c r="E7" s="38" t="s">
        <v>408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57.6" x14ac:dyDescent="0.3">
      <c r="A8" s="42">
        <v>7</v>
      </c>
      <c r="B8" s="45" t="s">
        <v>388</v>
      </c>
      <c r="C8" s="38" t="s">
        <v>395</v>
      </c>
      <c r="D8" s="38" t="s">
        <v>402</v>
      </c>
      <c r="E8" s="38" t="s">
        <v>409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4.4" x14ac:dyDescent="0.3">
      <c r="A9" s="36"/>
      <c r="B9" s="47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4" x14ac:dyDescent="0.3">
      <c r="A10" s="36"/>
      <c r="B10" s="4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4" x14ac:dyDescent="0.3">
      <c r="A11" s="36"/>
      <c r="B11" s="4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4" x14ac:dyDescent="0.3">
      <c r="A12" s="36"/>
      <c r="B12" s="4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4" x14ac:dyDescent="0.3">
      <c r="A13" s="36"/>
      <c r="B13" s="47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4.4" x14ac:dyDescent="0.3">
      <c r="A14" s="36"/>
      <c r="B14" s="47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4.4" x14ac:dyDescent="0.3">
      <c r="A15" s="36"/>
      <c r="B15" s="4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4.4" x14ac:dyDescent="0.3">
      <c r="A16" s="36"/>
      <c r="B16" s="4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4.4" x14ac:dyDescent="0.3">
      <c r="A17" s="36"/>
      <c r="B17" s="4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4.4" x14ac:dyDescent="0.3">
      <c r="A18" s="36"/>
      <c r="B18" s="4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4.4" x14ac:dyDescent="0.3">
      <c r="A19" s="36"/>
      <c r="B19" s="4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4.4" x14ac:dyDescent="0.3">
      <c r="A20" s="36"/>
      <c r="B20" s="47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x14ac:dyDescent="0.3">
      <c r="A21" s="36"/>
      <c r="B21" s="4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 x14ac:dyDescent="0.3">
      <c r="A22" s="36"/>
      <c r="B22" s="4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 x14ac:dyDescent="0.3">
      <c r="A23" s="36"/>
      <c r="B23" s="4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 x14ac:dyDescent="0.3">
      <c r="A24" s="36"/>
      <c r="B24" s="4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 x14ac:dyDescent="0.3">
      <c r="A25" s="36"/>
      <c r="B25" s="4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 x14ac:dyDescent="0.3">
      <c r="A26" s="36"/>
      <c r="B26" s="4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 x14ac:dyDescent="0.3">
      <c r="A27" s="36"/>
      <c r="B27" s="4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 x14ac:dyDescent="0.3">
      <c r="A28" s="36"/>
      <c r="B28" s="4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 x14ac:dyDescent="0.3">
      <c r="A29" s="36"/>
      <c r="B29" s="4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3">
      <c r="A30" s="36"/>
      <c r="B30" s="4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3">
      <c r="A31" s="36"/>
      <c r="B31" s="4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3">
      <c r="A32" s="36"/>
      <c r="B32" s="4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x14ac:dyDescent="0.3">
      <c r="A33" s="36"/>
      <c r="B33" s="4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 x14ac:dyDescent="0.3">
      <c r="A34" s="36"/>
      <c r="B34" s="4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3">
      <c r="A35" s="36"/>
      <c r="B35" s="4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3">
      <c r="A36" s="36"/>
      <c r="B36" s="4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3">
      <c r="A37" s="36"/>
      <c r="B37" s="4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3">
      <c r="A38" s="36"/>
      <c r="B38" s="4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3">
      <c r="A39" s="36"/>
      <c r="B39" s="4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3">
      <c r="A40" s="36"/>
      <c r="B40" s="4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3">
      <c r="A41" s="36"/>
      <c r="B41" s="4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3">
      <c r="A42" s="36"/>
      <c r="B42" s="4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3">
      <c r="A43" s="36"/>
      <c r="B43" s="4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3">
      <c r="A44" s="36"/>
      <c r="B44" s="4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3">
      <c r="A45" s="36"/>
      <c r="B45" s="4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3">
      <c r="A46" s="36"/>
      <c r="B46" s="4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3">
      <c r="A47" s="36"/>
      <c r="B47" s="4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3">
      <c r="A48" s="36"/>
      <c r="B48" s="4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3">
      <c r="A49" s="36"/>
      <c r="B49" s="4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3">
      <c r="A50" s="36"/>
      <c r="B50" s="4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3">
      <c r="A51" s="36"/>
      <c r="B51" s="4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3">
      <c r="A52" s="36"/>
      <c r="B52" s="4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3">
      <c r="A53" s="36"/>
      <c r="B53" s="4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3">
      <c r="A54" s="36"/>
      <c r="B54" s="4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3">
      <c r="A55" s="36"/>
      <c r="B55" s="4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3">
      <c r="A56" s="36"/>
      <c r="B56" s="4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3">
      <c r="A57" s="36"/>
      <c r="B57" s="4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3">
      <c r="A58" s="36"/>
      <c r="B58" s="4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3">
      <c r="A59" s="36"/>
      <c r="B59" s="4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3">
      <c r="A60" s="36"/>
      <c r="B60" s="4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3">
      <c r="A61" s="36"/>
      <c r="B61" s="4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3">
      <c r="A62" s="36"/>
      <c r="B62" s="4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3">
      <c r="A63" s="36"/>
      <c r="B63" s="4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3">
      <c r="A64" s="36"/>
      <c r="B64" s="4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3">
      <c r="A65" s="36"/>
      <c r="B65" s="4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3">
      <c r="A66" s="36"/>
      <c r="B66" s="4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3">
      <c r="A67" s="36"/>
      <c r="B67" s="4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3">
      <c r="A68" s="36"/>
      <c r="B68" s="4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3">
      <c r="A69" s="36"/>
      <c r="B69" s="4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3">
      <c r="A70" s="36"/>
      <c r="B70" s="4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3">
      <c r="A71" s="36"/>
      <c r="B71" s="4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3">
      <c r="A72" s="36"/>
      <c r="B72" s="4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3">
      <c r="A73" s="36"/>
      <c r="B73" s="4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3">
      <c r="A74" s="36"/>
      <c r="B74" s="4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3">
      <c r="A75" s="36"/>
      <c r="B75" s="4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 x14ac:dyDescent="0.3">
      <c r="A76" s="36"/>
      <c r="B76" s="4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3">
      <c r="A77" s="36"/>
      <c r="B77" s="4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3">
      <c r="A78" s="36"/>
      <c r="B78" s="4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3">
      <c r="A79" s="36"/>
      <c r="B79" s="4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3">
      <c r="A80" s="36"/>
      <c r="B80" s="4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3">
      <c r="A81" s="36"/>
      <c r="B81" s="4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3">
      <c r="A82" s="36"/>
      <c r="B82" s="4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3">
      <c r="A83" s="36"/>
      <c r="B83" s="4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3">
      <c r="A84" s="36"/>
      <c r="B84" s="4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3">
      <c r="A85" s="36"/>
      <c r="B85" s="4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3">
      <c r="A86" s="36"/>
      <c r="B86" s="4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3">
      <c r="A87" s="36"/>
      <c r="B87" s="4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3">
      <c r="A88" s="36"/>
      <c r="B88" s="4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3">
      <c r="A89" s="36"/>
      <c r="B89" s="4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3">
      <c r="A90" s="36"/>
      <c r="B90" s="4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3">
      <c r="A91" s="36"/>
      <c r="B91" s="4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3">
      <c r="A92" s="36"/>
      <c r="B92" s="4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3">
      <c r="A93" s="36"/>
      <c r="B93" s="4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3">
      <c r="A94" s="36"/>
      <c r="B94" s="4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3">
      <c r="A95" s="36"/>
      <c r="B95" s="4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3">
      <c r="A96" s="36"/>
      <c r="B96" s="4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3">
      <c r="A97" s="36"/>
      <c r="B97" s="4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3">
      <c r="A98" s="36"/>
      <c r="B98" s="4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3">
      <c r="A99" s="36"/>
      <c r="B99" s="4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3">
      <c r="A100" s="36"/>
      <c r="B100" s="4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3">
      <c r="A101" s="36"/>
      <c r="B101" s="4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3">
      <c r="A102" s="36"/>
      <c r="B102" s="4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3">
      <c r="A103" s="36"/>
      <c r="B103" s="4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3">
      <c r="A104" s="36"/>
      <c r="B104" s="4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3">
      <c r="A105" s="36"/>
      <c r="B105" s="4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3">
      <c r="A106" s="36"/>
      <c r="B106" s="4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3">
      <c r="A107" s="36"/>
      <c r="B107" s="4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3">
      <c r="A108" s="36"/>
      <c r="B108" s="4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3">
      <c r="A109" s="36"/>
      <c r="B109" s="4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3">
      <c r="A110" s="36"/>
      <c r="B110" s="4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3">
      <c r="A111" s="36"/>
      <c r="B111" s="4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3">
      <c r="A112" s="36"/>
      <c r="B112" s="4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3">
      <c r="A113" s="36"/>
      <c r="B113" s="4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3">
      <c r="A114" s="36"/>
      <c r="B114" s="4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3">
      <c r="A115" s="36"/>
      <c r="B115" s="4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3">
      <c r="A116" s="36"/>
      <c r="B116" s="4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3">
      <c r="A117" s="36"/>
      <c r="B117" s="4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3">
      <c r="A118" s="36"/>
      <c r="B118" s="4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3">
      <c r="A119" s="36"/>
      <c r="B119" s="4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3">
      <c r="A120" s="36"/>
      <c r="B120" s="4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3">
      <c r="A121" s="36"/>
      <c r="B121" s="4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3">
      <c r="A122" s="36"/>
      <c r="B122" s="4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3">
      <c r="A123" s="36"/>
      <c r="B123" s="4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3">
      <c r="A124" s="36"/>
      <c r="B124" s="4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3">
      <c r="A125" s="36"/>
      <c r="B125" s="4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3">
      <c r="A126" s="36"/>
      <c r="B126" s="4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3">
      <c r="A127" s="36"/>
      <c r="B127" s="4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3">
      <c r="A128" s="36"/>
      <c r="B128" s="4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3">
      <c r="A129" s="36"/>
      <c r="B129" s="4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3">
      <c r="A130" s="36"/>
      <c r="B130" s="4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3">
      <c r="A131" s="36"/>
      <c r="B131" s="4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3">
      <c r="A132" s="36"/>
      <c r="B132" s="4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3">
      <c r="A133" s="36"/>
      <c r="B133" s="4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3">
      <c r="A134" s="36"/>
      <c r="B134" s="4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3">
      <c r="A135" s="36"/>
      <c r="B135" s="4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3">
      <c r="A136" s="36"/>
      <c r="B136" s="4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3">
      <c r="A137" s="36"/>
      <c r="B137" s="4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3">
      <c r="A138" s="36"/>
      <c r="B138" s="4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3">
      <c r="A139" s="36"/>
      <c r="B139" s="4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3">
      <c r="A140" s="36"/>
      <c r="B140" s="4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3">
      <c r="A141" s="36"/>
      <c r="B141" s="4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3">
      <c r="A142" s="36"/>
      <c r="B142" s="4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3">
      <c r="A143" s="36"/>
      <c r="B143" s="4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3">
      <c r="A144" s="36"/>
      <c r="B144" s="4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3">
      <c r="A145" s="36"/>
      <c r="B145" s="4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3">
      <c r="A146" s="36"/>
      <c r="B146" s="4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3">
      <c r="A147" s="36"/>
      <c r="B147" s="4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3">
      <c r="A148" s="36"/>
      <c r="B148" s="4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3">
      <c r="A149" s="36"/>
      <c r="B149" s="4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3">
      <c r="A150" s="36"/>
      <c r="B150" s="4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3">
      <c r="A151" s="36"/>
      <c r="B151" s="4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3">
      <c r="A152" s="36"/>
      <c r="B152" s="4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3">
      <c r="A153" s="36"/>
      <c r="B153" s="4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3">
      <c r="A154" s="36"/>
      <c r="B154" s="4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3">
      <c r="A155" s="36"/>
      <c r="B155" s="4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3">
      <c r="A156" s="36"/>
      <c r="B156" s="4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3">
      <c r="A157" s="36"/>
      <c r="B157" s="4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3">
      <c r="A158" s="36"/>
      <c r="B158" s="4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3">
      <c r="A159" s="36"/>
      <c r="B159" s="4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3">
      <c r="A160" s="36"/>
      <c r="B160" s="4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3">
      <c r="A161" s="36"/>
      <c r="B161" s="4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3">
      <c r="A162" s="36"/>
      <c r="B162" s="4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3">
      <c r="A163" s="36"/>
      <c r="B163" s="4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3">
      <c r="A164" s="36"/>
      <c r="B164" s="4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3">
      <c r="A165" s="36"/>
      <c r="B165" s="4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3">
      <c r="A166" s="36"/>
      <c r="B166" s="4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3">
      <c r="A167" s="36"/>
      <c r="B167" s="4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3">
      <c r="A168" s="36"/>
      <c r="B168" s="4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3">
      <c r="A169" s="36"/>
      <c r="B169" s="4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3">
      <c r="A170" s="36"/>
      <c r="B170" s="4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3">
      <c r="A171" s="36"/>
      <c r="B171" s="4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3">
      <c r="A172" s="36"/>
      <c r="B172" s="4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3">
      <c r="A173" s="36"/>
      <c r="B173" s="4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3">
      <c r="A174" s="36"/>
      <c r="B174" s="4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3">
      <c r="A175" s="36"/>
      <c r="B175" s="4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3">
      <c r="A176" s="36"/>
      <c r="B176" s="4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3">
      <c r="A177" s="36"/>
      <c r="B177" s="4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3">
      <c r="A178" s="36"/>
      <c r="B178" s="4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3">
      <c r="A179" s="36"/>
      <c r="B179" s="4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3">
      <c r="A180" s="36"/>
      <c r="B180" s="4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3">
      <c r="A181" s="36"/>
      <c r="B181" s="4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3">
      <c r="A182" s="36"/>
      <c r="B182" s="4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3">
      <c r="A183" s="36"/>
      <c r="B183" s="4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3">
      <c r="A184" s="36"/>
      <c r="B184" s="4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3">
      <c r="A185" s="36"/>
      <c r="B185" s="4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3">
      <c r="A186" s="36"/>
      <c r="B186" s="4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3">
      <c r="A187" s="36"/>
      <c r="B187" s="4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3">
      <c r="A188" s="36"/>
      <c r="B188" s="4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3">
      <c r="A189" s="36"/>
      <c r="B189" s="4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3">
      <c r="A190" s="36"/>
      <c r="B190" s="4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3">
      <c r="A191" s="36"/>
      <c r="B191" s="4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3">
      <c r="A192" s="36"/>
      <c r="B192" s="4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3">
      <c r="A193" s="36"/>
      <c r="B193" s="4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3">
      <c r="A194" s="36"/>
      <c r="B194" s="4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3">
      <c r="A195" s="36"/>
      <c r="B195" s="4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3">
      <c r="A196" s="36"/>
      <c r="B196" s="4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3">
      <c r="A197" s="36"/>
      <c r="B197" s="4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3">
      <c r="A198" s="36"/>
      <c r="B198" s="4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3">
      <c r="A199" s="36"/>
      <c r="B199" s="4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3">
      <c r="A200" s="36"/>
      <c r="B200" s="4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3">
      <c r="A201" s="36"/>
      <c r="B201" s="4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3">
      <c r="A202" s="36"/>
      <c r="B202" s="4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3">
      <c r="A203" s="36"/>
      <c r="B203" s="4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3">
      <c r="A204" s="36"/>
      <c r="B204" s="4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3">
      <c r="A205" s="36"/>
      <c r="B205" s="4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3">
      <c r="A206" s="36"/>
      <c r="B206" s="4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3">
      <c r="A207" s="36"/>
      <c r="B207" s="4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3">
      <c r="A208" s="36"/>
      <c r="B208" s="4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3">
      <c r="A209" s="36"/>
      <c r="B209" s="4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3">
      <c r="A210" s="36"/>
      <c r="B210" s="4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3">
      <c r="A211" s="36"/>
      <c r="B211" s="4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3">
      <c r="A212" s="36"/>
      <c r="B212" s="4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3">
      <c r="A213" s="36"/>
      <c r="B213" s="4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3">
      <c r="A214" s="36"/>
      <c r="B214" s="4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3">
      <c r="A215" s="36"/>
      <c r="B215" s="4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3">
      <c r="A216" s="36"/>
      <c r="B216" s="4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3">
      <c r="A217" s="36"/>
      <c r="B217" s="4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3">
      <c r="A218" s="36"/>
      <c r="B218" s="4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3">
      <c r="A219" s="36"/>
      <c r="B219" s="4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3">
      <c r="A220" s="36"/>
      <c r="B220" s="4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68B-8596-4656-9FDE-6A8AD1AACE6F}">
  <dimension ref="A1:I29"/>
  <sheetViews>
    <sheetView workbookViewId="0">
      <selection activeCell="K12" sqref="K12"/>
    </sheetView>
  </sheetViews>
  <sheetFormatPr defaultRowHeight="14.4" x14ac:dyDescent="0.3"/>
  <sheetData>
    <row r="1" spans="1:9" ht="14.4" customHeight="1" x14ac:dyDescent="0.3">
      <c r="A1" s="31" t="s">
        <v>309</v>
      </c>
      <c r="B1" s="31"/>
      <c r="C1" s="31"/>
      <c r="D1" s="31"/>
      <c r="E1" s="31"/>
      <c r="F1" s="31"/>
      <c r="G1" s="31"/>
      <c r="H1" s="31"/>
      <c r="I1" s="21"/>
    </row>
    <row r="2" spans="1:9" x14ac:dyDescent="0.3">
      <c r="A2" s="31"/>
      <c r="B2" s="31"/>
      <c r="C2" s="31"/>
      <c r="D2" s="31"/>
      <c r="E2" s="31"/>
      <c r="F2" s="31"/>
      <c r="G2" s="31"/>
      <c r="H2" s="31"/>
      <c r="I2" s="21"/>
    </row>
    <row r="3" spans="1:9" x14ac:dyDescent="0.3">
      <c r="A3" s="31"/>
      <c r="B3" s="31"/>
      <c r="C3" s="31"/>
      <c r="D3" s="31"/>
      <c r="E3" s="31"/>
      <c r="F3" s="31"/>
      <c r="G3" s="31"/>
      <c r="H3" s="31"/>
      <c r="I3" s="21"/>
    </row>
    <row r="4" spans="1:9" x14ac:dyDescent="0.3">
      <c r="A4" s="31"/>
      <c r="B4" s="31"/>
      <c r="C4" s="31"/>
      <c r="D4" s="31"/>
      <c r="E4" s="31"/>
      <c r="F4" s="31"/>
      <c r="G4" s="31"/>
      <c r="H4" s="31"/>
      <c r="I4" s="21"/>
    </row>
    <row r="5" spans="1:9" x14ac:dyDescent="0.3">
      <c r="A5" s="31"/>
      <c r="B5" s="31"/>
      <c r="C5" s="31"/>
      <c r="D5" s="31"/>
      <c r="E5" s="31"/>
      <c r="F5" s="31"/>
      <c r="G5" s="31"/>
      <c r="H5" s="31"/>
      <c r="I5" s="21"/>
    </row>
    <row r="6" spans="1:9" x14ac:dyDescent="0.3">
      <c r="A6" s="31"/>
      <c r="B6" s="31"/>
      <c r="C6" s="31"/>
      <c r="D6" s="31"/>
      <c r="E6" s="31"/>
      <c r="F6" s="31"/>
      <c r="G6" s="31"/>
      <c r="H6" s="31"/>
      <c r="I6" s="21"/>
    </row>
    <row r="7" spans="1:9" x14ac:dyDescent="0.3">
      <c r="A7" s="31"/>
      <c r="B7" s="31"/>
      <c r="C7" s="31"/>
      <c r="D7" s="31"/>
      <c r="E7" s="31"/>
      <c r="F7" s="31"/>
      <c r="G7" s="31"/>
      <c r="H7" s="31"/>
      <c r="I7" s="21"/>
    </row>
    <row r="8" spans="1:9" x14ac:dyDescent="0.3">
      <c r="A8" s="31"/>
      <c r="B8" s="31"/>
      <c r="C8" s="31"/>
      <c r="D8" s="31"/>
      <c r="E8" s="31"/>
      <c r="F8" s="31"/>
      <c r="G8" s="31"/>
      <c r="H8" s="31"/>
      <c r="I8" s="21"/>
    </row>
    <row r="9" spans="1:9" x14ac:dyDescent="0.3">
      <c r="A9" s="31"/>
      <c r="B9" s="31"/>
      <c r="C9" s="31"/>
      <c r="D9" s="31"/>
      <c r="E9" s="31"/>
      <c r="F9" s="31"/>
      <c r="G9" s="31"/>
      <c r="H9" s="31"/>
      <c r="I9" s="21"/>
    </row>
    <row r="10" spans="1:9" x14ac:dyDescent="0.3">
      <c r="A10" s="21"/>
      <c r="B10" s="21"/>
      <c r="C10" s="21"/>
      <c r="D10" s="21"/>
      <c r="E10" s="21"/>
      <c r="F10" s="21"/>
      <c r="G10" s="21"/>
      <c r="H10" s="21"/>
      <c r="I10" s="21"/>
    </row>
    <row r="11" spans="1:9" x14ac:dyDescent="0.3">
      <c r="A11" s="21"/>
      <c r="B11" s="21"/>
      <c r="C11" s="21"/>
      <c r="D11" s="21"/>
      <c r="E11" s="21"/>
      <c r="F11" s="21"/>
      <c r="G11" s="21"/>
      <c r="H11" s="21"/>
      <c r="I11" s="21"/>
    </row>
    <row r="12" spans="1:9" x14ac:dyDescent="0.3">
      <c r="A12" s="21"/>
      <c r="B12" s="21"/>
      <c r="C12" s="21"/>
      <c r="D12" s="21"/>
      <c r="E12" s="21"/>
      <c r="F12" s="21"/>
      <c r="G12" s="21"/>
      <c r="H12" s="21"/>
      <c r="I12" s="21"/>
    </row>
    <row r="13" spans="1:9" x14ac:dyDescent="0.3">
      <c r="A13" s="32" t="s">
        <v>325</v>
      </c>
      <c r="B13" s="31"/>
      <c r="C13" s="31"/>
      <c r="D13" s="31"/>
      <c r="E13" s="31"/>
      <c r="F13" s="31"/>
      <c r="G13" s="31"/>
      <c r="H13" s="31"/>
      <c r="I13" s="21"/>
    </row>
    <row r="14" spans="1:9" x14ac:dyDescent="0.3">
      <c r="A14" s="31"/>
      <c r="B14" s="31"/>
      <c r="C14" s="31"/>
      <c r="D14" s="31"/>
      <c r="E14" s="31"/>
      <c r="F14" s="31"/>
      <c r="G14" s="31"/>
      <c r="H14" s="31"/>
      <c r="I14" s="21"/>
    </row>
    <row r="15" spans="1:9" x14ac:dyDescent="0.3">
      <c r="A15" s="31"/>
      <c r="B15" s="31"/>
      <c r="C15" s="31"/>
      <c r="D15" s="31"/>
      <c r="E15" s="31"/>
      <c r="F15" s="31"/>
      <c r="G15" s="31"/>
      <c r="H15" s="31"/>
      <c r="I15" s="21"/>
    </row>
    <row r="16" spans="1:9" x14ac:dyDescent="0.3">
      <c r="A16" s="31"/>
      <c r="B16" s="31"/>
      <c r="C16" s="31"/>
      <c r="D16" s="31"/>
      <c r="E16" s="31"/>
      <c r="F16" s="31"/>
      <c r="G16" s="31"/>
      <c r="H16" s="31"/>
      <c r="I16" s="21"/>
    </row>
    <row r="17" spans="1:9" x14ac:dyDescent="0.3">
      <c r="A17" s="31"/>
      <c r="B17" s="31"/>
      <c r="C17" s="31"/>
      <c r="D17" s="31"/>
      <c r="E17" s="31"/>
      <c r="F17" s="31"/>
      <c r="G17" s="31"/>
      <c r="H17" s="31"/>
      <c r="I17" s="21"/>
    </row>
    <row r="18" spans="1:9" x14ac:dyDescent="0.3">
      <c r="A18" s="31"/>
      <c r="B18" s="31"/>
      <c r="C18" s="31"/>
      <c r="D18" s="31"/>
      <c r="E18" s="31"/>
      <c r="F18" s="31"/>
      <c r="G18" s="31"/>
      <c r="H18" s="31"/>
      <c r="I18" s="21"/>
    </row>
    <row r="19" spans="1:9" x14ac:dyDescent="0.3">
      <c r="A19" s="31"/>
      <c r="B19" s="31"/>
      <c r="C19" s="31"/>
      <c r="D19" s="31"/>
      <c r="E19" s="31"/>
      <c r="F19" s="31"/>
      <c r="G19" s="31"/>
      <c r="H19" s="31"/>
    </row>
    <row r="20" spans="1:9" x14ac:dyDescent="0.3">
      <c r="A20" s="31"/>
      <c r="B20" s="31"/>
      <c r="C20" s="31"/>
      <c r="D20" s="31"/>
      <c r="E20" s="31"/>
      <c r="F20" s="31"/>
      <c r="G20" s="31"/>
      <c r="H20" s="31"/>
    </row>
    <row r="21" spans="1:9" x14ac:dyDescent="0.3">
      <c r="A21" s="31"/>
      <c r="B21" s="31"/>
      <c r="C21" s="31"/>
      <c r="D21" s="31"/>
      <c r="E21" s="31"/>
      <c r="F21" s="31"/>
      <c r="G21" s="31"/>
      <c r="H21" s="31"/>
    </row>
    <row r="22" spans="1:9" x14ac:dyDescent="0.3">
      <c r="A22" s="31"/>
      <c r="B22" s="31"/>
      <c r="C22" s="31"/>
      <c r="D22" s="31"/>
      <c r="E22" s="31"/>
      <c r="F22" s="31"/>
      <c r="G22" s="31"/>
      <c r="H22" s="31"/>
    </row>
    <row r="23" spans="1:9" x14ac:dyDescent="0.3">
      <c r="A23" s="31"/>
      <c r="B23" s="31"/>
      <c r="C23" s="31"/>
      <c r="D23" s="31"/>
      <c r="E23" s="31"/>
      <c r="F23" s="31"/>
      <c r="G23" s="31"/>
      <c r="H23" s="31"/>
    </row>
    <row r="24" spans="1:9" x14ac:dyDescent="0.3">
      <c r="A24" s="31"/>
      <c r="B24" s="31"/>
      <c r="C24" s="31"/>
      <c r="D24" s="31"/>
      <c r="E24" s="31"/>
      <c r="F24" s="31"/>
      <c r="G24" s="31"/>
      <c r="H24" s="31"/>
    </row>
    <row r="25" spans="1:9" x14ac:dyDescent="0.3">
      <c r="A25" s="31"/>
      <c r="B25" s="31"/>
      <c r="C25" s="31"/>
      <c r="D25" s="31"/>
      <c r="E25" s="31"/>
      <c r="F25" s="31"/>
      <c r="G25" s="31"/>
      <c r="H25" s="31"/>
    </row>
    <row r="26" spans="1:9" x14ac:dyDescent="0.3">
      <c r="A26" s="31"/>
      <c r="B26" s="31"/>
      <c r="C26" s="31"/>
      <c r="D26" s="31"/>
      <c r="E26" s="31"/>
      <c r="F26" s="31"/>
      <c r="G26" s="31"/>
      <c r="H26" s="31"/>
    </row>
    <row r="27" spans="1:9" x14ac:dyDescent="0.3">
      <c r="A27" s="31"/>
      <c r="B27" s="31"/>
      <c r="C27" s="31"/>
      <c r="D27" s="31"/>
      <c r="E27" s="31"/>
      <c r="F27" s="31"/>
      <c r="G27" s="31"/>
      <c r="H27" s="31"/>
    </row>
    <row r="28" spans="1:9" x14ac:dyDescent="0.3">
      <c r="A28" s="31"/>
      <c r="B28" s="31"/>
      <c r="C28" s="31"/>
      <c r="D28" s="31"/>
      <c r="E28" s="31"/>
      <c r="F28" s="31"/>
      <c r="G28" s="31"/>
      <c r="H28" s="31"/>
    </row>
    <row r="29" spans="1:9" x14ac:dyDescent="0.3">
      <c r="A29" s="31"/>
      <c r="B29" s="31"/>
      <c r="C29" s="31"/>
      <c r="D29" s="31"/>
      <c r="E29" s="31"/>
      <c r="F29" s="31"/>
      <c r="G29" s="31"/>
      <c r="H29" s="31"/>
    </row>
  </sheetData>
  <mergeCells count="2">
    <mergeCell ref="A1:H9"/>
    <mergeCell ref="A13:H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72FC-6D8C-4B16-855F-EB4D336006AF}">
  <dimension ref="A1:E28"/>
  <sheetViews>
    <sheetView zoomScale="64" zoomScaleNormal="85" workbookViewId="0">
      <selection activeCell="A29" sqref="A29"/>
    </sheetView>
  </sheetViews>
  <sheetFormatPr defaultRowHeight="14.4" x14ac:dyDescent="0.3"/>
  <cols>
    <col min="1" max="1" width="43.88671875" customWidth="1"/>
    <col min="2" max="2" width="44.5546875" customWidth="1"/>
    <col min="3" max="3" width="24.77734375" customWidth="1"/>
    <col min="4" max="4" width="24" customWidth="1"/>
    <col min="5" max="5" width="30.33203125" customWidth="1"/>
  </cols>
  <sheetData>
    <row r="1" spans="1:5" s="22" customFormat="1" x14ac:dyDescent="0.3">
      <c r="A1" s="24" t="s">
        <v>326</v>
      </c>
      <c r="B1" s="24" t="s">
        <v>327</v>
      </c>
      <c r="C1" s="24" t="s">
        <v>328</v>
      </c>
      <c r="D1" s="24" t="s">
        <v>329</v>
      </c>
      <c r="E1" s="24" t="s">
        <v>330</v>
      </c>
    </row>
    <row r="2" spans="1:5" ht="104.4" customHeight="1" x14ac:dyDescent="0.3">
      <c r="A2" s="25" t="s">
        <v>331</v>
      </c>
      <c r="B2" s="25" t="s">
        <v>334</v>
      </c>
      <c r="C2" s="25" t="s">
        <v>332</v>
      </c>
      <c r="D2" s="25" t="s">
        <v>333</v>
      </c>
      <c r="E2" s="25" t="s">
        <v>335</v>
      </c>
    </row>
    <row r="3" spans="1:5" ht="86.4" x14ac:dyDescent="0.3">
      <c r="A3" s="26" t="s">
        <v>336</v>
      </c>
      <c r="B3" s="26" t="s">
        <v>339</v>
      </c>
      <c r="C3" s="26" t="s">
        <v>337</v>
      </c>
      <c r="D3" s="26" t="s">
        <v>338</v>
      </c>
      <c r="E3" s="26" t="s">
        <v>340</v>
      </c>
    </row>
    <row r="4" spans="1:5" ht="72" x14ac:dyDescent="0.3">
      <c r="A4" s="26" t="s">
        <v>341</v>
      </c>
      <c r="B4" s="26" t="s">
        <v>342</v>
      </c>
      <c r="C4" s="26" t="s">
        <v>343</v>
      </c>
      <c r="D4" s="26" t="s">
        <v>344</v>
      </c>
      <c r="E4" s="26" t="s">
        <v>345</v>
      </c>
    </row>
    <row r="7" spans="1:5" x14ac:dyDescent="0.3">
      <c r="A7" s="23" t="s">
        <v>349</v>
      </c>
    </row>
    <row r="9" spans="1:5" x14ac:dyDescent="0.3">
      <c r="A9" s="27" t="s">
        <v>346</v>
      </c>
      <c r="B9" s="27" t="s">
        <v>347</v>
      </c>
      <c r="C9" s="27" t="s">
        <v>348</v>
      </c>
      <c r="D9" s="27" t="s">
        <v>350</v>
      </c>
      <c r="E9" s="27" t="s">
        <v>351</v>
      </c>
    </row>
    <row r="10" spans="1:5" x14ac:dyDescent="0.3">
      <c r="A10" s="28">
        <v>1</v>
      </c>
      <c r="B10" s="28">
        <v>8</v>
      </c>
      <c r="C10" s="28">
        <v>9</v>
      </c>
      <c r="D10" s="28">
        <v>8</v>
      </c>
      <c r="E10" s="28">
        <f>B10*C10*D10</f>
        <v>576</v>
      </c>
    </row>
    <row r="11" spans="1:5" x14ac:dyDescent="0.3">
      <c r="A11" s="28">
        <v>2</v>
      </c>
      <c r="B11" s="28">
        <v>7</v>
      </c>
      <c r="C11" s="28">
        <v>8</v>
      </c>
      <c r="D11" s="28">
        <v>7</v>
      </c>
      <c r="E11" s="28">
        <f t="shared" ref="E11:E12" si="0">B11*C11*D11</f>
        <v>392</v>
      </c>
    </row>
    <row r="12" spans="1:5" x14ac:dyDescent="0.3">
      <c r="A12" s="28">
        <v>3</v>
      </c>
      <c r="B12" s="28">
        <v>9</v>
      </c>
      <c r="C12" s="28">
        <v>7</v>
      </c>
      <c r="D12" s="28">
        <v>3</v>
      </c>
      <c r="E12" s="28">
        <f t="shared" si="0"/>
        <v>189</v>
      </c>
    </row>
    <row r="15" spans="1:5" x14ac:dyDescent="0.3">
      <c r="A15" s="33" t="s">
        <v>352</v>
      </c>
      <c r="B15" s="31"/>
      <c r="C15" s="31"/>
    </row>
    <row r="16" spans="1:5" x14ac:dyDescent="0.3">
      <c r="A16" s="31"/>
      <c r="B16" s="31"/>
      <c r="C16" s="31"/>
    </row>
    <row r="17" spans="1:3" x14ac:dyDescent="0.3">
      <c r="A17" s="31"/>
      <c r="B17" s="31"/>
      <c r="C17" s="31"/>
    </row>
    <row r="18" spans="1:3" x14ac:dyDescent="0.3">
      <c r="A18" s="31"/>
      <c r="B18" s="31"/>
      <c r="C18" s="31"/>
    </row>
    <row r="20" spans="1:3" ht="14.4" customHeight="1" x14ac:dyDescent="0.3">
      <c r="A20" s="33" t="s">
        <v>353</v>
      </c>
      <c r="B20" s="33"/>
      <c r="C20" s="33"/>
    </row>
    <row r="21" spans="1:3" x14ac:dyDescent="0.3">
      <c r="A21" s="33"/>
      <c r="B21" s="33"/>
      <c r="C21" s="33"/>
    </row>
    <row r="22" spans="1:3" x14ac:dyDescent="0.3">
      <c r="A22" s="33"/>
      <c r="B22" s="33"/>
      <c r="C22" s="33"/>
    </row>
    <row r="23" spans="1:3" x14ac:dyDescent="0.3">
      <c r="A23" s="33"/>
      <c r="B23" s="33"/>
      <c r="C23" s="33"/>
    </row>
    <row r="24" spans="1:3" x14ac:dyDescent="0.3">
      <c r="A24" s="33"/>
      <c r="B24" s="33"/>
      <c r="C24" s="33"/>
    </row>
    <row r="25" spans="1:3" x14ac:dyDescent="0.3">
      <c r="A25" s="33"/>
      <c r="B25" s="33"/>
      <c r="C25" s="33"/>
    </row>
    <row r="26" spans="1:3" x14ac:dyDescent="0.3">
      <c r="A26" s="33"/>
      <c r="B26" s="33"/>
      <c r="C26" s="33"/>
    </row>
    <row r="27" spans="1:3" x14ac:dyDescent="0.3">
      <c r="A27" s="33"/>
      <c r="B27" s="33"/>
      <c r="C27" s="33"/>
    </row>
    <row r="28" spans="1:3" x14ac:dyDescent="0.3">
      <c r="A28" s="33"/>
      <c r="B28" s="33"/>
      <c r="C28" s="33"/>
    </row>
  </sheetData>
  <mergeCells count="2">
    <mergeCell ref="A15:C18"/>
    <mergeCell ref="A20:C2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E44-5CD5-4446-B40F-30A5CCBFB26A}">
  <dimension ref="A1:D7"/>
  <sheetViews>
    <sheetView tabSelected="1" workbookViewId="0">
      <selection activeCell="C11" sqref="C11"/>
    </sheetView>
  </sheetViews>
  <sheetFormatPr defaultRowHeight="14.4" x14ac:dyDescent="0.3"/>
  <cols>
    <col min="1" max="1" width="22.33203125" style="46" customWidth="1"/>
    <col min="2" max="2" width="26.6640625" customWidth="1"/>
    <col min="3" max="3" width="26.44140625" customWidth="1"/>
    <col min="4" max="4" width="26.5546875" customWidth="1"/>
  </cols>
  <sheetData>
    <row r="1" spans="1:4" s="22" customFormat="1" x14ac:dyDescent="0.3">
      <c r="A1" s="44" t="s">
        <v>410</v>
      </c>
      <c r="B1" s="39" t="s">
        <v>411</v>
      </c>
      <c r="C1" s="39" t="s">
        <v>412</v>
      </c>
      <c r="D1" s="39" t="s">
        <v>413</v>
      </c>
    </row>
    <row r="2" spans="1:4" ht="43.2" x14ac:dyDescent="0.3">
      <c r="A2" s="45" t="s">
        <v>414</v>
      </c>
      <c r="B2" s="38" t="s">
        <v>420</v>
      </c>
      <c r="C2" s="38" t="s">
        <v>421</v>
      </c>
      <c r="D2" s="38" t="s">
        <v>422</v>
      </c>
    </row>
    <row r="3" spans="1:4" ht="43.2" x14ac:dyDescent="0.3">
      <c r="A3" s="45" t="s">
        <v>415</v>
      </c>
      <c r="B3" s="38" t="s">
        <v>423</v>
      </c>
      <c r="C3" s="38" t="s">
        <v>424</v>
      </c>
      <c r="D3" s="38" t="s">
        <v>425</v>
      </c>
    </row>
    <row r="4" spans="1:4" ht="57.6" x14ac:dyDescent="0.3">
      <c r="A4" s="45" t="s">
        <v>416</v>
      </c>
      <c r="B4" s="38" t="s">
        <v>426</v>
      </c>
      <c r="C4" s="38" t="s">
        <v>427</v>
      </c>
      <c r="D4" s="38" t="s">
        <v>428</v>
      </c>
    </row>
    <row r="5" spans="1:4" ht="57.6" x14ac:dyDescent="0.3">
      <c r="A5" s="45" t="s">
        <v>417</v>
      </c>
      <c r="B5" s="38" t="s">
        <v>429</v>
      </c>
      <c r="C5" s="38" t="s">
        <v>430</v>
      </c>
      <c r="D5" s="38" t="s">
        <v>431</v>
      </c>
    </row>
    <row r="6" spans="1:4" ht="57.6" x14ac:dyDescent="0.3">
      <c r="A6" s="45" t="s">
        <v>418</v>
      </c>
      <c r="B6" s="38" t="s">
        <v>432</v>
      </c>
      <c r="C6" s="38" t="s">
        <v>433</v>
      </c>
      <c r="D6" s="38" t="s">
        <v>434</v>
      </c>
    </row>
    <row r="7" spans="1:4" ht="43.2" x14ac:dyDescent="0.3">
      <c r="A7" s="45" t="s">
        <v>419</v>
      </c>
      <c r="B7" s="38" t="s">
        <v>435</v>
      </c>
      <c r="C7" s="38" t="s">
        <v>436</v>
      </c>
      <c r="D7" s="38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Details</vt:lpstr>
      <vt:lpstr>Metrics</vt:lpstr>
      <vt:lpstr>Support</vt:lpstr>
      <vt:lpstr>Reviews</vt:lpstr>
      <vt:lpstr>Team</vt:lpstr>
      <vt:lpstr>HADI</vt:lpstr>
      <vt:lpstr>MVP_MLP</vt:lpstr>
      <vt:lpstr>AB_Test</vt:lpstr>
      <vt:lpstr>RAT</vt:lpstr>
      <vt:lpstr>Prototype_Flow</vt:lpstr>
      <vt:lpstr>EX1.1</vt:lpstr>
      <vt:lpstr>EX1.2</vt:lpstr>
      <vt:lpstr>EX.3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Maksina</dc:creator>
  <cp:lastModifiedBy>arinamaksina@yandex.ru</cp:lastModifiedBy>
  <dcterms:created xsi:type="dcterms:W3CDTF">2026-09-23T20:16:02Z</dcterms:created>
  <dcterms:modified xsi:type="dcterms:W3CDTF">2026-09-24T18:56:12Z</dcterms:modified>
</cp:coreProperties>
</file>